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 Propriedade" sheetId="1" r:id="rId4"/>
    <sheet state="visible" name="Áreas de Plantio" sheetId="2" r:id="rId5"/>
    <sheet state="visible" name="Análise de Solo" sheetId="3" r:id="rId6"/>
    <sheet state="visible" name="Full" sheetId="4" r:id="rId7"/>
    <sheet state="visible" name="Dessecacao Pre Plantio" sheetId="5" r:id="rId8"/>
    <sheet state="visible" name="Tratamento Semente" sheetId="6" r:id="rId9"/>
    <sheet state="visible" name="Adubação" sheetId="7" r:id="rId10"/>
    <sheet state="visible" name="Operação Plantio" sheetId="8" r:id="rId11"/>
    <sheet state="visible" name="Plante e Aplique" sheetId="9" r:id="rId12"/>
    <sheet state="visible" name="Pós Emergente Folhas Estreitas" sheetId="10" r:id="rId13"/>
    <sheet state="visible" name="Pós Emergente Folhas Largas" sheetId="11" r:id="rId14"/>
    <sheet state="visible" name="Controle Insetos" sheetId="12" r:id="rId15"/>
    <sheet state="visible" name="Manejo Doenças 1" sheetId="13" r:id="rId16"/>
    <sheet state="visible" name="Manejo Doenças 2" sheetId="14" r:id="rId17"/>
    <sheet state="visible" name="Nutrição Foliar" sheetId="15" r:id="rId18"/>
    <sheet state="visible" name="Dessecacao Pré Colheita" sheetId="16" r:id="rId19"/>
    <sheet state="visible" name="Colheita" sheetId="17" r:id="rId20"/>
    <sheet state="visible" name="Fonte" sheetId="18" r:id="rId21"/>
  </sheets>
  <definedNames>
    <definedName name="EMEs">Fonte!$B$2:$B$30</definedName>
    <definedName name="Pos_emerg_fol_est">Fonte!$G$47:$G$51</definedName>
    <definedName name="Pos_emerg_fol_lar">Fonte!$G$52:$G$55</definedName>
    <definedName name="Controle_insetos">Fonte!$G$56:$G$76</definedName>
    <definedName name="Fertilizante_solo">Fonte!$G$2:$G$14</definedName>
    <definedName name="CategoriaFiltro">Fonte!$F$2:$F$117</definedName>
    <definedName name="Manejo_doencas">Fonte!$G$77:$G$85</definedName>
    <definedName name="Tratamento_sementes">Fonte!$G$15:$G$27</definedName>
    <definedName name="Dessec_pre_plantio">Fonte!$G$28:$G$44</definedName>
    <definedName name="Pre_emerg_pl_apl">Fonte!$G$45:$G$46</definedName>
    <definedName name="Dessec_pre_col">Fonte!$G$92:$G$112</definedName>
    <definedName name="Nutricao_foliar">Fonte!$G$86:$G$91</definedName>
    <definedName name="Estados">Fonte!$A$2:$A$30</definedName>
    <definedName hidden="1" localSheetId="17" name="_xlnm._FilterDatabase">Fonte!$A$1:$I$28</definedName>
  </definedNames>
  <calcPr/>
  <extLst>
    <ext uri="GoogleSheetsCustomDataVersion2">
      <go:sheetsCustomData xmlns:go="http://customooxmlschemas.google.com/" r:id="rId22" roundtripDataChecksum="AE7f88TVTIO58DswZoqaHBSpNTLVYZFzhHrHp2S6g74="/>
    </ext>
  </extLst>
</workbook>
</file>

<file path=xl/sharedStrings.xml><?xml version="1.0" encoding="utf-8"?>
<sst xmlns="http://schemas.openxmlformats.org/spreadsheetml/2006/main" count="833" uniqueCount="273">
  <si>
    <t>Nome do Produtor (a) Líder:</t>
  </si>
  <si>
    <t>Rodrigo de Souza Dias Gutierrez</t>
  </si>
  <si>
    <t>CPF /CNPJ Produtor (a) Líder:</t>
  </si>
  <si>
    <t>114.860.168-63</t>
  </si>
  <si>
    <t>Nome da Propriedade:</t>
  </si>
  <si>
    <t>Fazenda Ipê Amarelo</t>
  </si>
  <si>
    <t>Inscrição Estadual:</t>
  </si>
  <si>
    <t>Estado:</t>
  </si>
  <si>
    <t>TO</t>
  </si>
  <si>
    <t>Município:</t>
  </si>
  <si>
    <t>Órgão Estadual Ambiental:</t>
  </si>
  <si>
    <t>No Órgão Ambiental:</t>
  </si>
  <si>
    <t>Área Própria:</t>
  </si>
  <si>
    <t>ha</t>
  </si>
  <si>
    <t>Área Arrendada:</t>
  </si>
  <si>
    <t>Área Total:</t>
  </si>
  <si>
    <t>CAR1</t>
  </si>
  <si>
    <t>CAR2</t>
  </si>
  <si>
    <t>CAR3</t>
  </si>
  <si>
    <t>CAR4</t>
  </si>
  <si>
    <t>Sócios</t>
  </si>
  <si>
    <t>CPF / CNPJ Sócio</t>
  </si>
  <si>
    <t>Celular</t>
  </si>
  <si>
    <t>%</t>
  </si>
  <si>
    <t>e-mail</t>
  </si>
  <si>
    <t>Contato</t>
  </si>
  <si>
    <t>Cargo</t>
  </si>
  <si>
    <t>Propriedade</t>
  </si>
  <si>
    <t>Talhão ou Bloco</t>
  </si>
  <si>
    <t>Variedade</t>
  </si>
  <si>
    <t>Área (ha)</t>
  </si>
  <si>
    <t>Data Plantio</t>
  </si>
  <si>
    <t>Talhão 1</t>
  </si>
  <si>
    <t>Mika</t>
  </si>
  <si>
    <t>Talhão 2</t>
  </si>
  <si>
    <t>Talhão 3</t>
  </si>
  <si>
    <t>Amostra de Solo</t>
  </si>
  <si>
    <t>Análise Físico Química</t>
  </si>
  <si>
    <t>ph do Solo &gt;= 6,0</t>
  </si>
  <si>
    <t>Correção ph do Solo</t>
  </si>
  <si>
    <t>Calcáreo kg/ha</t>
  </si>
  <si>
    <t>Anexo Análise de Solo</t>
  </si>
  <si>
    <t>Sim</t>
  </si>
  <si>
    <t>Uso</t>
  </si>
  <si>
    <t>Produto</t>
  </si>
  <si>
    <t>Composição</t>
  </si>
  <si>
    <t>Dose</t>
  </si>
  <si>
    <t>Unidade de Dose</t>
  </si>
  <si>
    <t>Volume Calda l/ha</t>
  </si>
  <si>
    <t>Data Uso</t>
  </si>
  <si>
    <t>Dessecação Pré Plantio</t>
  </si>
  <si>
    <t>Roundup Transorb</t>
  </si>
  <si>
    <t>Fertilizante Solo</t>
  </si>
  <si>
    <t>NPK 18-00-18</t>
  </si>
  <si>
    <t>Glufosinato Genérico 200 SL</t>
  </si>
  <si>
    <t>Tratamento Sementes</t>
  </si>
  <si>
    <t>Fipronil Genérico 250 FS</t>
  </si>
  <si>
    <t>Certeza N</t>
  </si>
  <si>
    <t>Simplex</t>
  </si>
  <si>
    <t>Stimulate</t>
  </si>
  <si>
    <t xml:space="preserve"> </t>
  </si>
  <si>
    <t>NPK 20-00-20</t>
  </si>
  <si>
    <t>Enxofre</t>
  </si>
  <si>
    <t>Manganês</t>
  </si>
  <si>
    <t>Níquel</t>
  </si>
  <si>
    <t>Plantadeira a Vácuo</t>
  </si>
  <si>
    <t xml:space="preserve">Modelo Plantadeira Aprovado </t>
  </si>
  <si>
    <t>Disco Plantio</t>
  </si>
  <si>
    <t>0,8 mm</t>
  </si>
  <si>
    <t>Pré Emergente Plante Aplique</t>
  </si>
  <si>
    <t>Plateau</t>
  </si>
  <si>
    <t>Pós Emergente Folhas Estreitas</t>
  </si>
  <si>
    <t>Select</t>
  </si>
  <si>
    <t>Pós Emergente Folhas Largas</t>
  </si>
  <si>
    <t>Imazetapir Nortox</t>
  </si>
  <si>
    <t>Controle de Insetos</t>
  </si>
  <si>
    <t>Acefato CCAB 750 SP</t>
  </si>
  <si>
    <t>Manejo de Doenças</t>
  </si>
  <si>
    <t>Orkestra</t>
  </si>
  <si>
    <t>Score Flexi</t>
  </si>
  <si>
    <t>Nutrição Foliar</t>
  </si>
  <si>
    <t>Dominio</t>
  </si>
  <si>
    <t>Borum</t>
  </si>
  <si>
    <t>Dessecação Pré Colheita</t>
  </si>
  <si>
    <t>Diquat Nortox</t>
  </si>
  <si>
    <t>Data Colheita</t>
  </si>
  <si>
    <t>Colheita Total kg</t>
  </si>
  <si>
    <t>UF</t>
  </si>
  <si>
    <t>EME</t>
  </si>
  <si>
    <t>Doses</t>
  </si>
  <si>
    <t>Ordem</t>
  </si>
  <si>
    <t>Unidade</t>
  </si>
  <si>
    <t>AC</t>
  </si>
  <si>
    <t>AC-IDAF</t>
  </si>
  <si>
    <t>g/ha</t>
  </si>
  <si>
    <t>Boro Ulexita</t>
  </si>
  <si>
    <t>B2O3 43%</t>
  </si>
  <si>
    <t>kg/ha</t>
  </si>
  <si>
    <t>AL</t>
  </si>
  <si>
    <t>AL-ADEAL</t>
  </si>
  <si>
    <t>l/ha</t>
  </si>
  <si>
    <t>KCl</t>
  </si>
  <si>
    <t>K2O 60%</t>
  </si>
  <si>
    <t>AP</t>
  </si>
  <si>
    <t>AP-DIAGRO</t>
  </si>
  <si>
    <t>MAP</t>
  </si>
  <si>
    <t>N 11%-P 52%-K 00%</t>
  </si>
  <si>
    <t>AM</t>
  </si>
  <si>
    <t>AM-ADAF</t>
  </si>
  <si>
    <t>ml/kg semente</t>
  </si>
  <si>
    <t>N 18%-P 00%-K 18%</t>
  </si>
  <si>
    <t>BA</t>
  </si>
  <si>
    <t>BA-ADAB</t>
  </si>
  <si>
    <t>g/kg semente</t>
  </si>
  <si>
    <t>N 20%-P 00%-K 20%</t>
  </si>
  <si>
    <t>CE</t>
  </si>
  <si>
    <t>CE-ADAGRI</t>
  </si>
  <si>
    <t>Uréia</t>
  </si>
  <si>
    <t>N 45%</t>
  </si>
  <si>
    <t>DF</t>
  </si>
  <si>
    <t>DF-SEAGRI</t>
  </si>
  <si>
    <t>Superfosfato Simples</t>
  </si>
  <si>
    <t>P2O5 20%-S 10%</t>
  </si>
  <si>
    <t>ES</t>
  </si>
  <si>
    <t>ES-IDAF</t>
  </si>
  <si>
    <t>Discos_de_plantio</t>
  </si>
  <si>
    <t>Superfosfato Triplo</t>
  </si>
  <si>
    <t>P2O5 45%-Ca 10%</t>
  </si>
  <si>
    <t>GO</t>
  </si>
  <si>
    <t>GO-AGRODEFESA</t>
  </si>
  <si>
    <t>MA</t>
  </si>
  <si>
    <t>MA-AGED</t>
  </si>
  <si>
    <t>1,0 mm</t>
  </si>
  <si>
    <t>MT</t>
  </si>
  <si>
    <t>MT-INDEA</t>
  </si>
  <si>
    <t>1,2 mm</t>
  </si>
  <si>
    <t>MS</t>
  </si>
  <si>
    <t>MS-IAGRO</t>
  </si>
  <si>
    <t>Zinco</t>
  </si>
  <si>
    <t>MG</t>
  </si>
  <si>
    <t>MG-IMA</t>
  </si>
  <si>
    <t>Outro</t>
  </si>
  <si>
    <t>PA</t>
  </si>
  <si>
    <t>PA-ADEPARÁ</t>
  </si>
  <si>
    <t>Fipronil 250 g/l</t>
  </si>
  <si>
    <t>PB</t>
  </si>
  <si>
    <t>PB-SUDAP</t>
  </si>
  <si>
    <t>Variedades</t>
  </si>
  <si>
    <t>Shelter</t>
  </si>
  <si>
    <t>PR</t>
  </si>
  <si>
    <t>PR-ADAPAR</t>
  </si>
  <si>
    <t>Standak</t>
  </si>
  <si>
    <t>PE</t>
  </si>
  <si>
    <t>PE-ADAGRO</t>
  </si>
  <si>
    <t>Oren</t>
  </si>
  <si>
    <t>Standak Top</t>
  </si>
  <si>
    <t>Fipronil 250 g/l + Tiofanato Metílico 225 g/l + Piraclostrobina 25 g/l</t>
  </si>
  <si>
    <t>PI</t>
  </si>
  <si>
    <t>PI-ADAPI</t>
  </si>
  <si>
    <t>Ron</t>
  </si>
  <si>
    <t>Gaucho FS 600</t>
  </si>
  <si>
    <t>Imidacloprid 600 g/l</t>
  </si>
  <si>
    <t>RJ</t>
  </si>
  <si>
    <t>RJ-DEFESA</t>
  </si>
  <si>
    <t>K3</t>
  </si>
  <si>
    <t>Imidacloprid FS 600 Genérico</t>
  </si>
  <si>
    <t>RN</t>
  </si>
  <si>
    <t>RN-IDIARN</t>
  </si>
  <si>
    <t>Victoria</t>
  </si>
  <si>
    <t>RS</t>
  </si>
  <si>
    <t>RS-SEAPDR</t>
  </si>
  <si>
    <t>Jordan</t>
  </si>
  <si>
    <t>RO</t>
  </si>
  <si>
    <t>RO-IDARON</t>
  </si>
  <si>
    <t>Anahy</t>
  </si>
  <si>
    <t>Aprove</t>
  </si>
  <si>
    <t>Tiofanato Metílico 350 g/l + Fluazinam 52,5 g/l</t>
  </si>
  <si>
    <t>RR</t>
  </si>
  <si>
    <t>RR-ADERR</t>
  </si>
  <si>
    <t>Seda</t>
  </si>
  <si>
    <t>SC</t>
  </si>
  <si>
    <t>SC-CIDASC</t>
  </si>
  <si>
    <t>Firmeza N</t>
  </si>
  <si>
    <t>SP</t>
  </si>
  <si>
    <t>SP-CDA</t>
  </si>
  <si>
    <t>Plust</t>
  </si>
  <si>
    <t>SE</t>
  </si>
  <si>
    <t>SE-EMDAGRO</t>
  </si>
  <si>
    <t>TO-ADAPEC</t>
  </si>
  <si>
    <t>Não</t>
  </si>
  <si>
    <t>Glifosato 480 SL Genérico Líquido</t>
  </si>
  <si>
    <t>Glifosato 360 g/l</t>
  </si>
  <si>
    <t>Glifosato Nortox 480 SL</t>
  </si>
  <si>
    <t>Roundup Original</t>
  </si>
  <si>
    <t>Usos</t>
  </si>
  <si>
    <t>Roundup Original Mais</t>
  </si>
  <si>
    <t>Glifosato 480 g/l</t>
  </si>
  <si>
    <t>Glifosato Genérico 500 Líquido</t>
  </si>
  <si>
    <t>Glifosato 500 g/l</t>
  </si>
  <si>
    <t>Zapp QI Líquido</t>
  </si>
  <si>
    <t>Crucial 698 Sumitomo</t>
  </si>
  <si>
    <t>Glifosato 540 g/l</t>
  </si>
  <si>
    <t>Glifosato Genérico WG 720</t>
  </si>
  <si>
    <t>Glifosato 720 g/kg</t>
  </si>
  <si>
    <t>Roundup WG 720</t>
  </si>
  <si>
    <t>Connor 200 SL</t>
  </si>
  <si>
    <t>Glufosinato 200 g/l</t>
  </si>
  <si>
    <t>Finale 200 SL</t>
  </si>
  <si>
    <t>Liberty 200 SL</t>
  </si>
  <si>
    <t>Lifeline 280 SL</t>
  </si>
  <si>
    <t>Glufosinato 280 g/l</t>
  </si>
  <si>
    <t>Trunfo 280 SL</t>
  </si>
  <si>
    <t>Imazapic 700 g/kg</t>
  </si>
  <si>
    <t>Cletodim Genérico</t>
  </si>
  <si>
    <t>Cletodim 240 g/l</t>
  </si>
  <si>
    <t xml:space="preserve">Poquer </t>
  </si>
  <si>
    <t>Verdict R</t>
  </si>
  <si>
    <t>Haloxifope 124,7 g/l</t>
  </si>
  <si>
    <t>Verdict Max</t>
  </si>
  <si>
    <t>Haloxifope 540 g/l</t>
  </si>
  <si>
    <t>Vezir</t>
  </si>
  <si>
    <t>Imazetapir 106 g/l</t>
  </si>
  <si>
    <t>Zephir</t>
  </si>
  <si>
    <t>Imazetapir 212 g/l</t>
  </si>
  <si>
    <t>Acefato 750 g/kg</t>
  </si>
  <si>
    <t>Acefato Nortox</t>
  </si>
  <si>
    <t>Feroce</t>
  </si>
  <si>
    <t>Acefato 850 g/kg + Bifentrina 30 g/kg</t>
  </si>
  <si>
    <t xml:space="preserve">Magnum </t>
  </si>
  <si>
    <t>Acefato 970 g/kg</t>
  </si>
  <si>
    <t>Perito 970 SG</t>
  </si>
  <si>
    <t>Bifentrina 100 EC Nortox</t>
  </si>
  <si>
    <t>Bifentrina 100 g/l</t>
  </si>
  <si>
    <t>Bifentrina CCAB 100 EC</t>
  </si>
  <si>
    <t>Talstar 400 EC</t>
  </si>
  <si>
    <t>Bifentrina 400 g/l</t>
  </si>
  <si>
    <t>Valente</t>
  </si>
  <si>
    <t>Extrato de Neem</t>
  </si>
  <si>
    <t>Galil SC</t>
  </si>
  <si>
    <t>Imidacloprid 250 g/l + Bifentrina 50 g/l</t>
  </si>
  <si>
    <t>Karate Zeon 250 CS</t>
  </si>
  <si>
    <t>Lambda-cialotrina 250 g/l</t>
  </si>
  <si>
    <t>Lambda-cialotrina Genérica</t>
  </si>
  <si>
    <t>Lufenuron Genérico</t>
  </si>
  <si>
    <t>Lufenuron 50 g/l</t>
  </si>
  <si>
    <t>Match EC</t>
  </si>
  <si>
    <t>Lannate BR</t>
  </si>
  <si>
    <t>Metomil 250 g/l</t>
  </si>
  <si>
    <t>Methomex 215 SL</t>
  </si>
  <si>
    <t>Metomil 215 SL Nortox</t>
  </si>
  <si>
    <t>Metomil Genérico 215 SL</t>
  </si>
  <si>
    <t>Metomy</t>
  </si>
  <si>
    <t>Engeo Pleno S</t>
  </si>
  <si>
    <t>Tiametoxam 141 g/l + Lambad-cialotrina 106 g/l</t>
  </si>
  <si>
    <t>Bravonil 500 SC</t>
  </si>
  <si>
    <t>Clorotalonil 500 g/l</t>
  </si>
  <si>
    <t>Clorotalonil Genérico 500 SC</t>
  </si>
  <si>
    <t>Bravonil Top</t>
  </si>
  <si>
    <t>Clorotalonil 500 g/l + Difenoconazol 50 g/l</t>
  </si>
  <si>
    <t>Miravis Duo</t>
  </si>
  <si>
    <t>Difenoconazol 125 g/l + Pidiflumetofem 75 g/l</t>
  </si>
  <si>
    <t>Difenoconazol Genérico</t>
  </si>
  <si>
    <t>Difenoconazol 250 g/l</t>
  </si>
  <si>
    <t>Score</t>
  </si>
  <si>
    <t>Difenoconazol 250 g/l + Propiconazol 250 g/l</t>
  </si>
  <si>
    <t>Fluxapiroxade 133 g/l + Piraclostrobina 333 g/l</t>
  </si>
  <si>
    <t>Bioestimulante</t>
  </si>
  <si>
    <t>Boro 100 g/l</t>
  </si>
  <si>
    <t>Co-Mo</t>
  </si>
  <si>
    <t>Diquat CCAB 200 SL</t>
  </si>
  <si>
    <t>Diquat 200 g/l</t>
  </si>
  <si>
    <t>Diquat Genérico 200 SL</t>
  </si>
  <si>
    <t>Reglone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</si>
</sst>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,##0.000"/>
    <numFmt numFmtId="166" formatCode="#,##0.00000"/>
  </numFmts>
  <fonts count="10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0"/>
      <name val="Aptos Narrow"/>
    </font>
    <font/>
    <font>
      <sz val="11.0"/>
      <color theme="1"/>
      <name val="Aptos Narrow"/>
    </font>
    <font>
      <sz val="18.0"/>
      <color theme="1"/>
      <name val="Aptos Narrow"/>
    </font>
    <font>
      <u/>
      <sz val="11.0"/>
      <color theme="0"/>
      <name val="Aptos Narrow"/>
    </font>
    <font>
      <sz val="11.0"/>
      <color rgb="FFFFFFFF"/>
      <name val="Arial"/>
    </font>
    <font>
      <sz val="11.0"/>
      <color theme="1"/>
      <name val="Arial"/>
    </font>
    <font>
      <sz val="11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275317"/>
        <bgColor rgb="FF275317"/>
      </patternFill>
    </fill>
    <fill>
      <patternFill patternType="solid">
        <fgColor rgb="FFFFFF00"/>
        <bgColor rgb="FFFFFF00"/>
      </patternFill>
    </fill>
  </fills>
  <borders count="14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0" fontId="3" numFmtId="0" xfId="0" applyBorder="1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vertical="center"/>
    </xf>
    <xf borderId="3" fillId="2" fontId="2" numFmtId="0" xfId="0" applyBorder="1" applyFont="1"/>
    <xf borderId="0" fillId="0" fontId="4" numFmtId="0" xfId="0" applyAlignment="1" applyFont="1">
      <alignment horizontal="right"/>
    </xf>
    <xf borderId="3" fillId="2" fontId="2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2" fontId="4" numFmtId="0" xfId="0" applyBorder="1" applyFont="1"/>
    <xf borderId="4" fillId="3" fontId="4" numFmtId="0" xfId="0" applyBorder="1" applyFill="1" applyFont="1"/>
    <xf borderId="4" fillId="2" fontId="2" numFmtId="0" xfId="0" applyBorder="1" applyFont="1"/>
    <xf borderId="4" fillId="2" fontId="2" numFmtId="9" xfId="0" applyBorder="1" applyFont="1" applyNumberFormat="1"/>
    <xf borderId="4" fillId="2" fontId="6" numFmtId="0" xfId="0" applyBorder="1" applyFont="1"/>
    <xf borderId="4" fillId="3" fontId="2" numFmtId="0" xfId="0" applyBorder="1" applyFont="1"/>
    <xf borderId="4" fillId="3" fontId="2" numFmtId="9" xfId="0" applyBorder="1" applyFont="1" applyNumberFormat="1"/>
    <xf borderId="0" fillId="0" fontId="4" numFmtId="0" xfId="0" applyAlignment="1" applyFont="1">
      <alignment horizontal="center"/>
    </xf>
    <xf borderId="3" fillId="4" fontId="4" numFmtId="0" xfId="0" applyBorder="1" applyFill="1" applyFont="1"/>
    <xf borderId="3" fillId="3" fontId="2" numFmtId="0" xfId="0" applyBorder="1" applyFont="1"/>
    <xf borderId="3" fillId="3" fontId="2" numFmtId="4" xfId="0" applyBorder="1" applyFont="1" applyNumberFormat="1"/>
    <xf borderId="3" fillId="3" fontId="2" numFmtId="164" xfId="0" applyBorder="1" applyFont="1" applyNumberFormat="1"/>
    <xf borderId="0" fillId="0" fontId="4" numFmtId="0" xfId="0" applyAlignment="1" applyFont="1">
      <alignment horizontal="center" shrinkToFit="0" wrapText="1"/>
    </xf>
    <xf borderId="3" fillId="4" fontId="4" numFmtId="4" xfId="0" applyBorder="1" applyFont="1" applyNumberFormat="1"/>
    <xf borderId="3" fillId="3" fontId="7" numFmtId="0" xfId="0" applyAlignment="1" applyBorder="1" applyFont="1">
      <alignment readingOrder="0"/>
    </xf>
    <xf borderId="3" fillId="3" fontId="4" numFmtId="0" xfId="0" applyBorder="1" applyFont="1"/>
    <xf borderId="3" fillId="3" fontId="2" numFmtId="165" xfId="0" applyBorder="1" applyFont="1" applyNumberFormat="1"/>
    <xf borderId="3" fillId="3" fontId="2" numFmtId="166" xfId="0" applyBorder="1" applyFont="1" applyNumberFormat="1"/>
    <xf borderId="0" fillId="0" fontId="8" numFmtId="0" xfId="0" applyAlignment="1" applyFont="1">
      <alignment horizontal="center" readingOrder="0" shrinkToFit="0" wrapText="1"/>
    </xf>
    <xf borderId="3" fillId="4" fontId="4" numFmtId="164" xfId="0" applyBorder="1" applyFont="1" applyNumberFormat="1"/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7" fillId="0" fontId="4" numFmtId="0" xfId="0" applyBorder="1" applyFont="1"/>
    <xf borderId="8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4.13"/>
    <col customWidth="1" min="2" max="2" width="18.38"/>
    <col customWidth="1" min="3" max="4" width="17.63"/>
    <col customWidth="1" min="5" max="5" width="32.0"/>
    <col customWidth="1" min="6" max="26" width="8.63"/>
  </cols>
  <sheetData>
    <row r="1" ht="14.25" customHeight="1">
      <c r="A1" s="1" t="s">
        <v>0</v>
      </c>
      <c r="B1" s="2" t="s">
        <v>1</v>
      </c>
      <c r="C1" s="3"/>
      <c r="D1" s="4"/>
      <c r="E1" s="5"/>
    </row>
    <row r="2" ht="14.25" customHeight="1">
      <c r="A2" s="1" t="s">
        <v>2</v>
      </c>
      <c r="B2" s="6" t="s">
        <v>3</v>
      </c>
      <c r="D2" s="4"/>
      <c r="E2" s="5"/>
    </row>
    <row r="3" ht="14.25" customHeight="1">
      <c r="A3" s="1" t="s">
        <v>4</v>
      </c>
      <c r="B3" s="2" t="s">
        <v>5</v>
      </c>
      <c r="C3" s="3"/>
      <c r="D3" s="4"/>
      <c r="E3" s="5"/>
    </row>
    <row r="4" ht="14.25" customHeight="1">
      <c r="A4" s="1" t="s">
        <v>6</v>
      </c>
      <c r="B4" s="6"/>
      <c r="C4" s="7" t="s">
        <v>7</v>
      </c>
      <c r="D4" s="8" t="s">
        <v>8</v>
      </c>
      <c r="E4" s="5"/>
    </row>
    <row r="5" ht="14.25" customHeight="1">
      <c r="A5" s="1" t="s">
        <v>9</v>
      </c>
      <c r="B5" s="2"/>
      <c r="C5" s="3"/>
      <c r="D5" s="4"/>
      <c r="E5" s="5"/>
    </row>
    <row r="6" ht="14.25" customHeight="1">
      <c r="A6" s="1" t="s">
        <v>10</v>
      </c>
      <c r="B6" s="1" t="str">
        <f>IF($D$4="","",VLOOKUP('Cadastro Propriedade'!D$4,Fonte!A2:B30,2,FALSE))</f>
        <v>TO-ADAPEC</v>
      </c>
      <c r="C6" s="1" t="s">
        <v>11</v>
      </c>
      <c r="D6" s="6"/>
      <c r="E6" s="5"/>
    </row>
    <row r="7" ht="14.25" customHeight="1">
      <c r="A7" s="1" t="s">
        <v>12</v>
      </c>
      <c r="B7" s="6">
        <v>220.0</v>
      </c>
      <c r="C7" s="1" t="s">
        <v>13</v>
      </c>
      <c r="E7" s="5"/>
    </row>
    <row r="8" ht="14.25" customHeight="1">
      <c r="A8" s="1" t="s">
        <v>14</v>
      </c>
      <c r="B8" s="6">
        <v>0.0</v>
      </c>
      <c r="C8" s="1" t="s">
        <v>13</v>
      </c>
      <c r="E8" s="5"/>
    </row>
    <row r="9" ht="14.25" customHeight="1">
      <c r="A9" s="1" t="s">
        <v>15</v>
      </c>
      <c r="B9" s="6">
        <v>220.0</v>
      </c>
      <c r="C9" s="1" t="s">
        <v>13</v>
      </c>
      <c r="E9" s="5"/>
    </row>
    <row r="10" ht="14.25" customHeight="1">
      <c r="E10" s="5"/>
    </row>
    <row r="11" ht="14.25" customHeight="1">
      <c r="A11" s="9" t="s">
        <v>16</v>
      </c>
      <c r="B11" s="9" t="s">
        <v>17</v>
      </c>
      <c r="C11" s="9" t="s">
        <v>18</v>
      </c>
      <c r="D11" s="9" t="s">
        <v>19</v>
      </c>
    </row>
    <row r="12" ht="14.25" customHeight="1">
      <c r="A12" s="10"/>
      <c r="B12" s="11"/>
      <c r="C12" s="11"/>
      <c r="D12" s="11"/>
    </row>
    <row r="13" ht="14.25" customHeight="1"/>
    <row r="14" ht="14.25" customHeight="1">
      <c r="A14" s="9" t="s">
        <v>20</v>
      </c>
      <c r="B14" s="9" t="s">
        <v>21</v>
      </c>
      <c r="C14" s="9" t="s">
        <v>22</v>
      </c>
      <c r="D14" s="9" t="s">
        <v>23</v>
      </c>
      <c r="E14" s="9" t="s">
        <v>24</v>
      </c>
    </row>
    <row r="15" ht="14.25" customHeight="1">
      <c r="A15" s="12"/>
      <c r="B15" s="12"/>
      <c r="C15" s="12"/>
      <c r="D15" s="13"/>
      <c r="E15" s="14"/>
    </row>
    <row r="16" ht="14.25" customHeight="1">
      <c r="A16" s="15"/>
      <c r="B16" s="15"/>
      <c r="C16" s="15"/>
      <c r="D16" s="16"/>
      <c r="E16" s="15"/>
    </row>
    <row r="17" ht="14.25" customHeight="1">
      <c r="A17" s="15"/>
      <c r="B17" s="15"/>
      <c r="C17" s="15"/>
      <c r="D17" s="16"/>
      <c r="E17" s="15"/>
    </row>
    <row r="18" ht="14.25" customHeight="1">
      <c r="A18" s="15"/>
      <c r="B18" s="15"/>
      <c r="C18" s="15"/>
      <c r="D18" s="16"/>
      <c r="E18" s="15"/>
    </row>
    <row r="19" ht="14.25" customHeight="1"/>
    <row r="20" ht="14.25" customHeight="1">
      <c r="A20" s="9" t="s">
        <v>25</v>
      </c>
      <c r="B20" s="9" t="s">
        <v>21</v>
      </c>
      <c r="C20" s="9" t="s">
        <v>22</v>
      </c>
      <c r="D20" s="9" t="s">
        <v>26</v>
      </c>
      <c r="E20" s="9" t="s">
        <v>24</v>
      </c>
    </row>
    <row r="21" ht="14.25" customHeight="1">
      <c r="A21" s="12"/>
      <c r="B21" s="12"/>
      <c r="C21" s="12"/>
      <c r="D21" s="12"/>
      <c r="E21" s="14"/>
    </row>
    <row r="22" ht="14.25" customHeight="1">
      <c r="A22" s="15"/>
      <c r="B22" s="15"/>
      <c r="C22" s="15"/>
      <c r="D22" s="15"/>
      <c r="E22" s="15"/>
    </row>
    <row r="23" ht="14.25" customHeight="1">
      <c r="A23" s="15"/>
      <c r="B23" s="15"/>
      <c r="C23" s="15"/>
      <c r="D23" s="15"/>
      <c r="E23" s="15"/>
    </row>
    <row r="24" ht="14.25" customHeight="1">
      <c r="A24" s="15"/>
      <c r="B24" s="15"/>
      <c r="C24" s="15"/>
      <c r="D24" s="15"/>
      <c r="E24" s="15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C1"/>
    <mergeCell ref="B3:C3"/>
    <mergeCell ref="B5:C5"/>
  </mergeCells>
  <dataValidations>
    <dataValidation type="list" allowBlank="1" showErrorMessage="1" sqref="D4">
      <formula1>Estados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0.63"/>
    <col customWidth="1" min="6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31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21">
        <v>46064.0</v>
      </c>
    </row>
    <row r="3" ht="14.25" customHeight="1">
      <c r="A3" s="18" t="str">
        <f>IF('Cadastro Propriedade'!B$3="","",'Cadastro Propriedade'!B$3)</f>
        <v>Fazenda Ipê Amarelo</v>
      </c>
      <c r="B3" s="19" t="s">
        <v>34</v>
      </c>
      <c r="C3" s="19"/>
      <c r="D3" s="20"/>
      <c r="E3" s="21"/>
    </row>
    <row r="4" ht="14.25" customHeight="1">
      <c r="A4" s="18" t="str">
        <f>IF('Cadastro Propriedade'!B$3="","",'Cadastro Propriedade'!B$3)</f>
        <v>Fazenda Ipê Amarelo</v>
      </c>
      <c r="B4" s="19" t="s">
        <v>35</v>
      </c>
      <c r="C4" s="19"/>
      <c r="D4" s="20"/>
      <c r="E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21"/>
    </row>
    <row r="8" ht="14.25" customHeight="1">
      <c r="A8" s="18" t="str">
        <f>IF('Cadastro Propriedade'!B$3="","",'Cadastro Propriedade'!B$3)</f>
        <v>Fazenda Ipê Amarelo</v>
      </c>
      <c r="B8" s="19"/>
      <c r="C8" s="19"/>
      <c r="D8" s="20"/>
      <c r="E8" s="21"/>
    </row>
    <row r="9" ht="14.25" customHeight="1">
      <c r="A9" s="18" t="str">
        <f>IF('Cadastro Propriedade'!B$3="","",'Cadastro Propriedade'!B$3)</f>
        <v>Fazenda Ipê Amarelo</v>
      </c>
      <c r="B9" s="19"/>
      <c r="C9" s="19"/>
      <c r="D9" s="20"/>
      <c r="E9" s="21"/>
    </row>
    <row r="10" ht="14.25" customHeight="1">
      <c r="A10" s="18" t="str">
        <f>IF('Cadastro Propriedade'!B$3="","",'Cadastro Propriedade'!B$3)</f>
        <v>Fazenda Ipê Amarelo</v>
      </c>
      <c r="B10" s="19"/>
      <c r="C10" s="19"/>
      <c r="D10" s="20"/>
      <c r="E10" s="2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2:C10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8.0"/>
    <col customWidth="1" min="6" max="6" width="9.5"/>
    <col customWidth="1" min="7" max="7" width="9.13"/>
    <col customWidth="1" min="8" max="8" width="9.0"/>
    <col customWidth="1" min="9" max="9" width="10.5"/>
    <col customWidth="1" min="10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22" t="s">
        <v>36</v>
      </c>
      <c r="F1" s="22" t="s">
        <v>37</v>
      </c>
      <c r="G1" s="22" t="s">
        <v>38</v>
      </c>
      <c r="H1" s="22" t="s">
        <v>39</v>
      </c>
      <c r="I1" s="22" t="s">
        <v>40</v>
      </c>
      <c r="J1" s="22" t="s">
        <v>41</v>
      </c>
    </row>
    <row r="2" ht="14.25" customHeight="1">
      <c r="A2" s="18" t="str">
        <f>IF('Cadastro Propriedade'!B$3="","",'Cadastro Propriedade'!B$3)</f>
        <v>Fazenda Ipê Amarelo</v>
      </c>
      <c r="B2" s="18" t="str">
        <f>'Áreas de Plantio'!B2</f>
        <v>Talhão 1</v>
      </c>
      <c r="C2" s="18" t="str">
        <f>IF('Áreas de Plantio'!C2="","",'Áreas de Plantio'!C2)</f>
        <v>Mika</v>
      </c>
      <c r="D2" s="23">
        <f>IF('Áreas de Plantio'!D2="","",'Áreas de Plantio'!D2)</f>
        <v>500</v>
      </c>
      <c r="E2" s="19" t="s">
        <v>42</v>
      </c>
      <c r="F2" s="24" t="s">
        <v>42</v>
      </c>
      <c r="G2" s="19" t="s">
        <v>42</v>
      </c>
      <c r="H2" s="19" t="s">
        <v>42</v>
      </c>
      <c r="I2" s="20">
        <v>3000.0</v>
      </c>
      <c r="J2" s="25"/>
    </row>
    <row r="3" ht="14.25" customHeight="1">
      <c r="A3" s="18" t="str">
        <f>IF('Cadastro Propriedade'!B$3="","",'Cadastro Propriedade'!B$3)</f>
        <v>Fazenda Ipê Amarelo</v>
      </c>
      <c r="B3" s="18" t="str">
        <f>'Áreas de Plantio'!B3</f>
        <v>Talhão 2</v>
      </c>
      <c r="C3" s="18" t="str">
        <f>IF('Áreas de Plantio'!C3="","",'Áreas de Plantio'!C3)</f>
        <v/>
      </c>
      <c r="D3" s="23"/>
      <c r="E3" s="21"/>
      <c r="F3" s="19"/>
      <c r="G3" s="19"/>
      <c r="H3" s="19"/>
      <c r="I3" s="20"/>
      <c r="J3" s="25"/>
    </row>
    <row r="4" ht="14.25" customHeight="1">
      <c r="A4" s="18" t="str">
        <f>IF('Cadastro Propriedade'!B$3="","",'Cadastro Propriedade'!B$3)</f>
        <v>Fazenda Ipê Amarelo</v>
      </c>
      <c r="B4" s="18" t="str">
        <f>'Áreas de Plantio'!B4</f>
        <v>Talhão 3</v>
      </c>
      <c r="C4" s="18" t="str">
        <f>IF('Áreas de Plantio'!C4="","",'Áreas de Plantio'!C4)</f>
        <v/>
      </c>
      <c r="D4" s="23"/>
      <c r="E4" s="21"/>
      <c r="F4" s="19"/>
      <c r="G4" s="19"/>
      <c r="H4" s="19"/>
      <c r="I4" s="20"/>
      <c r="J4" s="25"/>
    </row>
    <row r="5" ht="14.25" customHeight="1">
      <c r="A5" s="18" t="str">
        <f>IF('Cadastro Propriedade'!B$3="","",'Cadastro Propriedade'!B$3)</f>
        <v>Fazenda Ipê Amarelo</v>
      </c>
      <c r="B5" s="18"/>
      <c r="C5" s="18"/>
      <c r="D5" s="23"/>
      <c r="E5" s="21"/>
      <c r="F5" s="19"/>
      <c r="G5" s="19"/>
      <c r="H5" s="19"/>
      <c r="I5" s="20"/>
      <c r="J5" s="25"/>
    </row>
    <row r="6" ht="14.25" customHeight="1">
      <c r="A6" s="18" t="str">
        <f>IF('Cadastro Propriedade'!B$3="","",'Cadastro Propriedade'!B$3)</f>
        <v>Fazenda Ipê Amarelo</v>
      </c>
      <c r="B6" s="18"/>
      <c r="C6" s="18"/>
      <c r="D6" s="23"/>
      <c r="E6" s="21"/>
      <c r="F6" s="19"/>
      <c r="G6" s="19"/>
      <c r="H6" s="19"/>
      <c r="I6" s="20"/>
      <c r="J6" s="25"/>
    </row>
    <row r="7" ht="14.25" customHeight="1">
      <c r="A7" s="18" t="str">
        <f>IF('Cadastro Propriedade'!B$3="","",'Cadastro Propriedade'!B$3)</f>
        <v>Fazenda Ipê Amarelo</v>
      </c>
      <c r="B7" s="18"/>
      <c r="C7" s="18"/>
      <c r="D7" s="23"/>
      <c r="E7" s="21"/>
      <c r="F7" s="19"/>
      <c r="G7" s="19"/>
      <c r="H7" s="19"/>
      <c r="I7" s="20"/>
      <c r="J7" s="25"/>
    </row>
    <row r="8" ht="14.25" customHeight="1">
      <c r="A8" s="18" t="str">
        <f>IF('Cadastro Propriedade'!B$3="","",'Cadastro Propriedade'!B$3)</f>
        <v>Fazenda Ipê Amarelo</v>
      </c>
      <c r="B8" s="18"/>
      <c r="C8" s="18"/>
      <c r="D8" s="23"/>
      <c r="E8" s="21"/>
      <c r="F8" s="19"/>
      <c r="G8" s="19"/>
      <c r="H8" s="19"/>
      <c r="I8" s="20"/>
      <c r="J8" s="25"/>
    </row>
    <row r="9" ht="14.25" customHeight="1">
      <c r="A9" s="18" t="str">
        <f>IF('Cadastro Propriedade'!B$3="","",'Cadastro Propriedade'!B$3)</f>
        <v>Fazenda Ipê Amarelo</v>
      </c>
      <c r="B9" s="18"/>
      <c r="C9" s="18"/>
      <c r="D9" s="23"/>
      <c r="E9" s="21"/>
      <c r="F9" s="19"/>
      <c r="G9" s="19"/>
      <c r="H9" s="19"/>
      <c r="I9" s="20"/>
      <c r="J9" s="25"/>
    </row>
    <row r="10" ht="14.25" customHeight="1">
      <c r="A10" s="18" t="str">
        <f>IF('Cadastro Propriedade'!B$3="","",'Cadastro Propriedade'!B$3)</f>
        <v>Fazenda Ipê Amarelo</v>
      </c>
      <c r="B10" s="18"/>
      <c r="C10" s="18"/>
      <c r="D10" s="23"/>
      <c r="E10" s="21"/>
      <c r="F10" s="19"/>
      <c r="G10" s="19"/>
      <c r="H10" s="19"/>
      <c r="I10" s="20"/>
      <c r="J10" s="2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H2 F3:H10">
      <formula1>Fonte!$C$27:$C$28</formula1>
    </dataValidation>
    <dataValidation type="list" allowBlank="1" showErrorMessage="1" sqref="C2:C10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88"/>
    <col customWidth="1" min="8" max="8" width="10.5"/>
    <col customWidth="1" min="9" max="9" width="12.75"/>
    <col customWidth="1" min="10" max="10" width="9.0"/>
    <col customWidth="1" min="11" max="11" width="8.63"/>
    <col customWidth="1" min="12" max="12" width="10.63"/>
    <col customWidth="1" min="13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L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32</v>
      </c>
      <c r="D2" s="20">
        <v>500.0</v>
      </c>
      <c r="E2" s="19" t="s">
        <v>50</v>
      </c>
      <c r="F2" s="19" t="s">
        <v>51</v>
      </c>
      <c r="G2" s="1" t="str">
        <f>IF($F2="","",VLOOKUP($F2,Fonte!$G$2:$I$119,2,FALSE))</f>
        <v>Glifosato 480 g/l</v>
      </c>
      <c r="H2" s="26">
        <v>2.0</v>
      </c>
      <c r="I2" s="1" t="str">
        <f>IF($F2="","",VLOOKUP($F2,Fonte!$G$2:$I$119,3,FALSE))</f>
        <v>l/ha</v>
      </c>
      <c r="J2" s="27"/>
      <c r="L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32</v>
      </c>
      <c r="D3" s="20">
        <v>500.0</v>
      </c>
      <c r="E3" s="19" t="s">
        <v>52</v>
      </c>
      <c r="F3" s="19" t="s">
        <v>53</v>
      </c>
      <c r="G3" s="1" t="str">
        <f>IF($F3="","",VLOOKUP($F3,Fonte!$G$2:$I$119,2,FALSE))</f>
        <v>N 18%-P 00%-K 18%</v>
      </c>
      <c r="H3" s="26">
        <v>200.0</v>
      </c>
      <c r="I3" s="1" t="str">
        <f>IF($F3="","",VLOOKUP($F3,Fonte!$G$2:$I$119,3,FALSE))</f>
        <v>kg/ha</v>
      </c>
      <c r="J3" s="27"/>
      <c r="L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H4" s="26"/>
      <c r="J4" s="27"/>
      <c r="L4" s="21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4">
      <formula1>Fonte!$C$32:$C$41</formula1>
    </dataValidation>
    <dataValidation type="list" allowBlank="1" showErrorMessage="1" sqref="B2:C4">
      <formula1>'Áreas de Plantio'!$B$2:$B$10</formula1>
    </dataValidation>
    <dataValidation type="list" allowBlank="1" showErrorMessage="1" sqref="F2:F4">
      <formula1>Fonte!$G$2:$G$112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20.63"/>
    <col customWidth="1" min="6" max="6" width="20.88"/>
    <col customWidth="1" min="7" max="7" width="37.88"/>
    <col customWidth="1" min="8" max="8" width="10.5"/>
    <col customWidth="1" min="9" max="9" width="12.75"/>
    <col customWidth="1" min="10" max="10" width="9.0"/>
    <col customWidth="1" min="11" max="11" width="8.63"/>
    <col customWidth="1" min="12" max="12" width="10.63"/>
    <col customWidth="1" min="13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8" t="s">
        <v>48</v>
      </c>
      <c r="L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32</v>
      </c>
      <c r="D2" s="20">
        <v>500.0</v>
      </c>
      <c r="E2" s="19" t="s">
        <v>50</v>
      </c>
      <c r="F2" s="19" t="s">
        <v>51</v>
      </c>
      <c r="G2" s="1" t="str">
        <f>IF($F2="","",VLOOKUP($F2,Fonte!$G$2:$I$119,2,FALSE))</f>
        <v>Glifosato 480 g/l</v>
      </c>
      <c r="H2" s="26">
        <v>2.0</v>
      </c>
      <c r="I2" s="1" t="str">
        <f>IF($F2="","",VLOOKUP($F2,Fonte!$G$2:$I$119,3,FALSE))</f>
        <v>l/ha</v>
      </c>
      <c r="J2" s="27"/>
      <c r="L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32</v>
      </c>
      <c r="D3" s="20">
        <v>500.0</v>
      </c>
      <c r="E3" s="19" t="s">
        <v>50</v>
      </c>
      <c r="F3" s="19" t="s">
        <v>54</v>
      </c>
      <c r="G3" s="1" t="str">
        <f>IF($F3="","",VLOOKUP($F3,Fonte!$G$2:$I$119,2,FALSE))</f>
        <v>Glufosinato 200 g/l</v>
      </c>
      <c r="H3" s="26">
        <v>3.0</v>
      </c>
      <c r="I3" s="1" t="str">
        <f>IF($F3="","",VLOOKUP($F3,Fonte!$G$2:$I$119,3,FALSE))</f>
        <v>l/ha</v>
      </c>
      <c r="J3" s="27"/>
      <c r="L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 t="s">
        <v>55</v>
      </c>
      <c r="F4" s="19"/>
      <c r="H4" s="26"/>
      <c r="J4" s="27"/>
      <c r="L4" s="21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4">
      <formula1>Fonte!$C$32:$C$41</formula1>
    </dataValidation>
    <dataValidation type="list" allowBlank="1" showErrorMessage="1" sqref="B2:C4">
      <formula1>'Áreas de Plantio'!$B$2:$B$10</formula1>
    </dataValidation>
    <dataValidation type="list" allowBlank="1" showErrorMessage="1" sqref="F2:F4">
      <formula1>Fonte!$G$2:$G$112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0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55</v>
      </c>
      <c r="F2" s="19" t="s">
        <v>56</v>
      </c>
      <c r="G2" s="1" t="str">
        <f>IF($F2="","",VLOOKUP($F2,Fonte!$G$2:$I$119,2,FALSE))</f>
        <v>Fipronil 250 g/l</v>
      </c>
      <c r="H2" s="26">
        <v>0.1</v>
      </c>
      <c r="I2" s="1" t="str">
        <f>IF($F2="","",VLOOKUP($F2,Fonte!$G$2:$I$119,3,FALSE))</f>
        <v>ml/kg semente</v>
      </c>
      <c r="J2" s="27">
        <v>10.0</v>
      </c>
      <c r="K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33</v>
      </c>
      <c r="D3" s="20">
        <v>500.0</v>
      </c>
      <c r="E3" s="19" t="s">
        <v>55</v>
      </c>
      <c r="F3" s="19" t="s">
        <v>57</v>
      </c>
      <c r="G3" s="1" t="str">
        <f>IF($F3="","",VLOOKUP($F3,Fonte!$G$2:$I$119,2,FALSE))</f>
        <v>Tiofanato Metílico 350 g/l + Fluazinam 52,5 g/l</v>
      </c>
      <c r="H3" s="26">
        <v>0.05</v>
      </c>
      <c r="I3" s="1" t="str">
        <f>IF($F3="","",VLOOKUP($F3,Fonte!$G$2:$I$119,3,FALSE))</f>
        <v>ml/kg semente</v>
      </c>
      <c r="J3" s="27">
        <v>10.0</v>
      </c>
      <c r="K3" s="21"/>
    </row>
    <row r="4" ht="14.25" customHeight="1">
      <c r="A4" s="18" t="str">
        <f>IF('Cadastro Propriedade'!B$3="","",'Cadastro Propriedade'!B$3)</f>
        <v>Fazenda Ipê Amarelo</v>
      </c>
      <c r="B4" s="19" t="s">
        <v>32</v>
      </c>
      <c r="C4" s="19" t="s">
        <v>33</v>
      </c>
      <c r="D4" s="20">
        <v>500.0</v>
      </c>
      <c r="E4" s="19" t="s">
        <v>55</v>
      </c>
      <c r="F4" s="19" t="s">
        <v>58</v>
      </c>
      <c r="G4" s="1" t="str">
        <f>IF($F4="","",VLOOKUP($F4,Fonte!$G$2:$I$119,2,FALSE))</f>
        <v>Simplex</v>
      </c>
      <c r="H4" s="26">
        <v>0.2</v>
      </c>
      <c r="I4" s="1" t="str">
        <f>IF($F4="","",VLOOKUP($F4,Fonte!$G$2:$I$119,3,FALSE))</f>
        <v>ml/kg semente</v>
      </c>
      <c r="J4" s="27">
        <v>10.0</v>
      </c>
      <c r="K4" s="21"/>
    </row>
    <row r="5" ht="14.25" customHeight="1">
      <c r="A5" s="18" t="str">
        <f>IF('Cadastro Propriedade'!B$3="","",'Cadastro Propriedade'!B$3)</f>
        <v>Fazenda Ipê Amarelo</v>
      </c>
      <c r="B5" s="19" t="s">
        <v>32</v>
      </c>
      <c r="C5" s="19" t="s">
        <v>33</v>
      </c>
      <c r="D5" s="20">
        <v>500.0</v>
      </c>
      <c r="E5" s="19" t="s">
        <v>55</v>
      </c>
      <c r="F5" s="19" t="s">
        <v>59</v>
      </c>
      <c r="G5" s="1" t="str">
        <f>IF($F5="","",VLOOKUP($F5,Fonte!$G$2:$I$119,2,FALSE))</f>
        <v>Stimulate</v>
      </c>
      <c r="H5" s="26">
        <v>0.3</v>
      </c>
      <c r="I5" s="1" t="str">
        <f>IF($F5="","",VLOOKUP($F5,Fonte!$G$2:$I$119,3,FALSE))</f>
        <v>ml/kg semente</v>
      </c>
      <c r="J5" s="27">
        <v>10.0</v>
      </c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>
        <v>500.0</v>
      </c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>
        <v>500.0</v>
      </c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>
      <c r="E12" s="1" t="s">
        <v>60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88"/>
    <col customWidth="1" min="8" max="8" width="10.5"/>
    <col customWidth="1" min="9" max="9" width="12.75"/>
    <col customWidth="1" min="10" max="10" width="9.0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52</v>
      </c>
      <c r="F2" s="19" t="s">
        <v>61</v>
      </c>
      <c r="G2" s="1" t="str">
        <f>IF($F2="","",VLOOKUP($F2,Fonte!$G$2:$I$119,2,FALSE))</f>
        <v>N 20%-P 00%-K 20%</v>
      </c>
      <c r="H2" s="26">
        <v>0.1</v>
      </c>
      <c r="I2" s="1" t="str">
        <f>IF($F2="","",VLOOKUP($F2,Fonte!$G$2:$I$119,3,FALSE))</f>
        <v>kg/ha</v>
      </c>
      <c r="J2" s="27">
        <v>10.0</v>
      </c>
      <c r="K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33</v>
      </c>
      <c r="D3" s="20">
        <v>500.0</v>
      </c>
      <c r="E3" s="19" t="s">
        <v>52</v>
      </c>
      <c r="F3" s="19" t="s">
        <v>62</v>
      </c>
      <c r="G3" s="1" t="str">
        <f>IF($F3="","",VLOOKUP($F3,Fonte!$G$2:$I$119,2,FALSE))</f>
        <v/>
      </c>
      <c r="H3" s="26">
        <v>0.05</v>
      </c>
      <c r="I3" s="1" t="str">
        <f>IF($F3="","",VLOOKUP($F3,Fonte!$G$2:$I$119,3,FALSE))</f>
        <v>kg/ha</v>
      </c>
      <c r="J3" s="27">
        <v>10.0</v>
      </c>
      <c r="K3" s="21"/>
    </row>
    <row r="4" ht="14.25" customHeight="1">
      <c r="A4" s="18" t="str">
        <f>IF('Cadastro Propriedade'!B$3="","",'Cadastro Propriedade'!B$3)</f>
        <v>Fazenda Ipê Amarelo</v>
      </c>
      <c r="B4" s="19" t="s">
        <v>32</v>
      </c>
      <c r="C4" s="19" t="s">
        <v>33</v>
      </c>
      <c r="D4" s="20">
        <v>500.0</v>
      </c>
      <c r="E4" s="19" t="s">
        <v>52</v>
      </c>
      <c r="F4" s="19" t="s">
        <v>63</v>
      </c>
      <c r="G4" s="1" t="str">
        <f>IF($F4="","",VLOOKUP($F4,Fonte!$G$2:$I$119,2,FALSE))</f>
        <v/>
      </c>
      <c r="H4" s="26">
        <v>0.2</v>
      </c>
      <c r="I4" s="1" t="str">
        <f>IF($F4="","",VLOOKUP($F4,Fonte!$G$2:$I$119,3,FALSE))</f>
        <v>kg/ha</v>
      </c>
      <c r="J4" s="27">
        <v>10.0</v>
      </c>
      <c r="K4" s="21"/>
    </row>
    <row r="5" ht="14.25" customHeight="1">
      <c r="A5" s="18" t="str">
        <f>IF('Cadastro Propriedade'!B$3="","",'Cadastro Propriedade'!B$3)</f>
        <v>Fazenda Ipê Amarelo</v>
      </c>
      <c r="B5" s="19" t="s">
        <v>32</v>
      </c>
      <c r="C5" s="19" t="s">
        <v>33</v>
      </c>
      <c r="D5" s="20">
        <v>500.0</v>
      </c>
      <c r="E5" s="19" t="s">
        <v>52</v>
      </c>
      <c r="F5" s="19" t="s">
        <v>64</v>
      </c>
      <c r="G5" s="1" t="str">
        <f>IF($F5="","",VLOOKUP($F5,Fonte!$G$2:$I$119,2,FALSE))</f>
        <v/>
      </c>
      <c r="H5" s="26">
        <v>0.3</v>
      </c>
      <c r="I5" s="1" t="str">
        <f>IF($F5="","",VLOOKUP($F5,Fonte!$G$2:$I$119,3,FALSE))</f>
        <v>kg/ha</v>
      </c>
      <c r="J5" s="27">
        <v>10.0</v>
      </c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>
        <v>500.0</v>
      </c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>
        <v>500.0</v>
      </c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7" width="10.63"/>
    <col customWidth="1" min="8" max="8" width="11.5"/>
    <col customWidth="1" min="9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31</v>
      </c>
      <c r="F1" s="22" t="s">
        <v>65</v>
      </c>
      <c r="G1" s="22" t="s">
        <v>66</v>
      </c>
      <c r="H1" s="17" t="s">
        <v>67</v>
      </c>
    </row>
    <row r="2" ht="14.25" customHeight="1">
      <c r="A2" s="18" t="str">
        <f>IF('Cadastro Propriedade'!B$3="","",'Cadastro Propriedade'!B$3)</f>
        <v>Fazenda Ipê Amarelo</v>
      </c>
      <c r="B2" s="18" t="s">
        <v>32</v>
      </c>
      <c r="C2" s="18" t="s">
        <v>33</v>
      </c>
      <c r="D2" s="23">
        <v>500.0</v>
      </c>
      <c r="E2" s="21">
        <v>46064.0</v>
      </c>
      <c r="F2" s="19" t="s">
        <v>42</v>
      </c>
      <c r="G2" s="19" t="s">
        <v>42</v>
      </c>
      <c r="H2" s="19" t="s">
        <v>68</v>
      </c>
    </row>
    <row r="3" ht="14.25" customHeight="1">
      <c r="A3" s="18" t="str">
        <f>IF('Cadastro Propriedade'!B$3="","",'Cadastro Propriedade'!B$3)</f>
        <v>Fazenda Ipê Amarelo</v>
      </c>
      <c r="B3" s="18" t="s">
        <v>34</v>
      </c>
      <c r="C3" s="18"/>
      <c r="D3" s="23"/>
      <c r="E3" s="21"/>
      <c r="F3" s="19"/>
      <c r="G3" s="19"/>
      <c r="H3" s="19"/>
    </row>
    <row r="4" ht="14.25" customHeight="1">
      <c r="A4" s="18" t="str">
        <f>IF('Cadastro Propriedade'!B$3="","",'Cadastro Propriedade'!B$3)</f>
        <v>Fazenda Ipê Amarelo</v>
      </c>
      <c r="B4" s="18" t="s">
        <v>35</v>
      </c>
      <c r="C4" s="18"/>
      <c r="D4" s="23"/>
      <c r="E4" s="21"/>
      <c r="F4" s="19"/>
      <c r="G4" s="19"/>
      <c r="H4" s="19"/>
    </row>
    <row r="5" ht="14.25" customHeight="1">
      <c r="A5" s="18" t="str">
        <f>IF('Cadastro Propriedade'!B$3="","",'Cadastro Propriedade'!B$3)</f>
        <v>Fazenda Ipê Amarelo</v>
      </c>
      <c r="B5" s="18"/>
      <c r="C5" s="18"/>
      <c r="D5" s="23"/>
      <c r="E5" s="21"/>
      <c r="F5" s="19"/>
      <c r="G5" s="19"/>
      <c r="H5" s="19"/>
    </row>
    <row r="6" ht="14.25" customHeight="1">
      <c r="A6" s="18" t="str">
        <f>IF('Cadastro Propriedade'!B$3="","",'Cadastro Propriedade'!B$3)</f>
        <v>Fazenda Ipê Amarelo</v>
      </c>
      <c r="B6" s="18"/>
      <c r="C6" s="18"/>
      <c r="D6" s="23"/>
      <c r="E6" s="21"/>
      <c r="F6" s="19"/>
      <c r="G6" s="19"/>
      <c r="H6" s="19"/>
    </row>
    <row r="7" ht="14.25" customHeight="1">
      <c r="A7" s="18" t="str">
        <f>IF('Cadastro Propriedade'!B$3="","",'Cadastro Propriedade'!B$3)</f>
        <v>Fazenda Ipê Amarelo</v>
      </c>
      <c r="B7" s="18"/>
      <c r="C7" s="18"/>
      <c r="D7" s="23"/>
      <c r="E7" s="21"/>
      <c r="F7" s="19"/>
      <c r="G7" s="19"/>
      <c r="H7" s="19"/>
    </row>
    <row r="8" ht="14.25" customHeight="1">
      <c r="A8" s="18" t="str">
        <f>IF('Cadastro Propriedade'!B$3="","",'Cadastro Propriedade'!B$3)</f>
        <v>Fazenda Ipê Amarelo</v>
      </c>
      <c r="B8" s="18"/>
      <c r="C8" s="18"/>
      <c r="D8" s="23"/>
      <c r="E8" s="21"/>
      <c r="F8" s="19"/>
      <c r="G8" s="19"/>
      <c r="H8" s="19"/>
    </row>
    <row r="9" ht="14.25" customHeight="1">
      <c r="A9" s="18" t="str">
        <f>IF('Cadastro Propriedade'!B$3="","",'Cadastro Propriedade'!B$3)</f>
        <v>Fazenda Ipê Amarelo</v>
      </c>
      <c r="B9" s="18"/>
      <c r="C9" s="18"/>
      <c r="D9" s="23"/>
      <c r="E9" s="21"/>
      <c r="F9" s="19"/>
      <c r="G9" s="19"/>
      <c r="H9" s="19"/>
    </row>
    <row r="10" ht="14.25" customHeight="1">
      <c r="A10" s="18" t="str">
        <f>IF('Cadastro Propriedade'!B$3="","",'Cadastro Propriedade'!B$3)</f>
        <v>Fazenda Ipê Amarelo</v>
      </c>
      <c r="B10" s="18"/>
      <c r="C10" s="18"/>
      <c r="D10" s="23"/>
      <c r="E10" s="21"/>
      <c r="F10" s="19"/>
      <c r="G10" s="19"/>
      <c r="H10" s="1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H2:H10">
      <formula1>Fonte!$C$10:$C$14</formula1>
    </dataValidation>
    <dataValidation type="list" allowBlank="1" showErrorMessage="1" sqref="F2:G10">
      <formula1>Fonte!$C$27:$C$28</formula1>
    </dataValidation>
    <dataValidation type="list" allowBlank="1" showErrorMessage="1" sqref="C2:C10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0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69</v>
      </c>
      <c r="F2" s="19" t="s">
        <v>70</v>
      </c>
      <c r="G2" s="1" t="str">
        <f>IF($F2="","",VLOOKUP($F2,Fonte!$G$2:$I$119,2,FALSE))</f>
        <v>Imazapic 700 g/kg</v>
      </c>
      <c r="H2" s="26">
        <v>70.0</v>
      </c>
      <c r="I2" s="1" t="str">
        <f>IF($F2="","",VLOOKUP($F2,Fonte!$G$2:$I$119,3,FALSE))</f>
        <v>g/ha</v>
      </c>
      <c r="J2" s="27">
        <v>10.0</v>
      </c>
      <c r="K2" s="21"/>
    </row>
    <row r="3" ht="14.25" customHeight="1">
      <c r="A3" s="18" t="str">
        <f>IF('Cadastro Propriedade'!B$3="","",'Cadastro Propriedade'!B$3)</f>
        <v>Fazenda Ipê Amarelo</v>
      </c>
      <c r="B3" s="19"/>
      <c r="C3" s="19"/>
      <c r="D3" s="20"/>
      <c r="E3" s="19"/>
      <c r="F3" s="19"/>
      <c r="G3" s="1" t="str">
        <f>IF($F3="","",VLOOKUP($F3,Fonte!$G$2:$I$119,2,FALSE))</f>
        <v/>
      </c>
      <c r="H3" s="26">
        <v>0.05</v>
      </c>
      <c r="I3" s="1" t="str">
        <f>IF($F3="","",VLOOKUP($F3,Fonte!$G$2:$I$119,3,FALSE))</f>
        <v/>
      </c>
      <c r="J3" s="27">
        <v>10.0</v>
      </c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>
        <v>0.2</v>
      </c>
      <c r="I4" s="1" t="str">
        <f>IF($F4="","",VLOOKUP($F4,Fonte!$G$2:$I$119,3,FALSE))</f>
        <v/>
      </c>
      <c r="J4" s="27">
        <v>10.0</v>
      </c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>
        <v>0.3</v>
      </c>
      <c r="I5" s="1" t="str">
        <f>IF($F5="","",VLOOKUP($F5,Fonte!$G$2:$I$119,3,FALSE))</f>
        <v/>
      </c>
      <c r="J5" s="27">
        <v>10.0</v>
      </c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71</v>
      </c>
      <c r="F2" s="19" t="s">
        <v>72</v>
      </c>
      <c r="G2" s="1" t="str">
        <f>IF($F2="","",VLOOKUP($F2,Fonte!$G$2:$I$119,2,FALSE))</f>
        <v>Cletodim 240 g/l</v>
      </c>
      <c r="H2" s="26">
        <v>0.8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/>
      <c r="C3" s="19"/>
      <c r="D3" s="20"/>
      <c r="E3" s="19"/>
      <c r="F3" s="19"/>
      <c r="G3" s="1" t="str">
        <f>IF($F3="","",VLOOKUP($F3,Fonte!$G$2:$I$119,2,FALSE))</f>
        <v/>
      </c>
      <c r="H3" s="26">
        <v>0.05</v>
      </c>
      <c r="I3" s="1" t="str">
        <f>IF($F3="","",VLOOKUP($F3,Fonte!$G$2:$I$119,3,FALSE))</f>
        <v/>
      </c>
      <c r="J3" s="27"/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>
        <v>0.2</v>
      </c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>
        <v>0.3</v>
      </c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73</v>
      </c>
      <c r="F2" s="19" t="s">
        <v>74</v>
      </c>
      <c r="G2" s="1" t="str">
        <f>IF($F2="","",VLOOKUP($F2,Fonte!$G$2:$I$119,2,FALSE))</f>
        <v>Imazetapir 212 g/l</v>
      </c>
      <c r="H2" s="26">
        <v>0.8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/>
      <c r="C3" s="19"/>
      <c r="D3" s="20"/>
      <c r="E3" s="19"/>
      <c r="F3" s="19"/>
      <c r="G3" s="1" t="str">
        <f>IF($F3="","",VLOOKUP($F3,Fonte!$G$2:$I$119,2,FALSE))</f>
        <v/>
      </c>
      <c r="H3" s="26">
        <v>0.05</v>
      </c>
      <c r="I3" s="1" t="str">
        <f>IF($F3="","",VLOOKUP($F3,Fonte!$G$2:$I$119,3,FALSE))</f>
        <v/>
      </c>
      <c r="J3" s="27"/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>
        <v>0.2</v>
      </c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>
        <v>0.3</v>
      </c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75</v>
      </c>
      <c r="F2" s="19" t="s">
        <v>76</v>
      </c>
      <c r="G2" s="1" t="str">
        <f>IF($F2="","",VLOOKUP($F2,Fonte!$G$2:$I$119,2,FALSE))</f>
        <v>Acefato 750 g/kg</v>
      </c>
      <c r="H2" s="26">
        <v>1.0</v>
      </c>
      <c r="I2" s="1" t="str">
        <f>IF($F2="","",VLOOKUP($F2,Fonte!$G$2:$I$119,3,FALSE))</f>
        <v>kg/ha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/>
      <c r="C3" s="19"/>
      <c r="D3" s="20"/>
      <c r="E3" s="19"/>
      <c r="F3" s="19"/>
      <c r="G3" s="1" t="str">
        <f>IF($F3="","",VLOOKUP($F3,Fonte!$G$2:$I$119,2,FALSE))</f>
        <v/>
      </c>
      <c r="H3" s="26"/>
      <c r="I3" s="1" t="str">
        <f>IF($F3="","",VLOOKUP($F3,Fonte!$G$2:$I$119,3,FALSE))</f>
        <v/>
      </c>
      <c r="J3" s="27"/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/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/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77</v>
      </c>
      <c r="F2" s="19" t="s">
        <v>78</v>
      </c>
      <c r="G2" s="1" t="str">
        <f>IF($F2="","",VLOOKUP($F2,Fonte!$G$2:$I$119,2,FALSE))</f>
        <v>Fluxapiroxade 133 g/l + Piraclostrobina 333 g/l</v>
      </c>
      <c r="H2" s="26">
        <v>0.3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33</v>
      </c>
      <c r="D3" s="20">
        <v>500.0</v>
      </c>
      <c r="E3" s="19" t="s">
        <v>77</v>
      </c>
      <c r="F3" s="19" t="s">
        <v>79</v>
      </c>
      <c r="G3" s="1" t="str">
        <f>IF($F3="","",VLOOKUP($F3,Fonte!$G$2:$I$119,2,FALSE))</f>
        <v>Difenoconazol 250 g/l + Propiconazol 250 g/l</v>
      </c>
      <c r="H3" s="26">
        <v>0.5</v>
      </c>
      <c r="I3" s="1" t="str">
        <f>IF($F3="","",VLOOKUP($F3,Fonte!$G$2:$I$119,3,FALSE))</f>
        <v>l/ha</v>
      </c>
      <c r="J3" s="27">
        <v>120.0</v>
      </c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/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/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77</v>
      </c>
      <c r="F2" s="19" t="s">
        <v>78</v>
      </c>
      <c r="G2" s="1" t="str">
        <f>IF($F2="","",VLOOKUP($F2,Fonte!$G$2:$I$119,2,FALSE))</f>
        <v>Fluxapiroxade 133 g/l + Piraclostrobina 333 g/l</v>
      </c>
      <c r="H2" s="26">
        <v>0.3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33</v>
      </c>
      <c r="D3" s="20">
        <v>500.0</v>
      </c>
      <c r="E3" s="19" t="s">
        <v>77</v>
      </c>
      <c r="F3" s="19" t="s">
        <v>79</v>
      </c>
      <c r="G3" s="1" t="str">
        <f>IF($F3="","",VLOOKUP($F3,Fonte!$G$2:$I$119,2,FALSE))</f>
        <v>Difenoconazol 250 g/l + Propiconazol 250 g/l</v>
      </c>
      <c r="H3" s="26">
        <v>0.5</v>
      </c>
      <c r="I3" s="1" t="str">
        <f>IF($F3="","",VLOOKUP($F3,Fonte!$G$2:$I$119,3,FALSE))</f>
        <v>l/ha</v>
      </c>
      <c r="J3" s="27">
        <v>120.0</v>
      </c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/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/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80</v>
      </c>
      <c r="F2" s="19" t="s">
        <v>81</v>
      </c>
      <c r="G2" s="1" t="str">
        <f>IF($F2="","",VLOOKUP($F2,Fonte!$G$2:$I$119,2,FALSE))</f>
        <v>Bioestimulante</v>
      </c>
      <c r="H2" s="26">
        <v>0.3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 t="s">
        <v>32</v>
      </c>
      <c r="C3" s="19" t="s">
        <v>33</v>
      </c>
      <c r="D3" s="20">
        <v>500.0</v>
      </c>
      <c r="E3" s="19" t="s">
        <v>80</v>
      </c>
      <c r="F3" s="19" t="s">
        <v>82</v>
      </c>
      <c r="G3" s="1" t="str">
        <f>IF($F3="","",VLOOKUP($F3,Fonte!$G$2:$I$119,2,FALSE))</f>
        <v>Boro 100 g/l</v>
      </c>
      <c r="H3" s="26">
        <v>0.5</v>
      </c>
      <c r="I3" s="1" t="str">
        <f>IF($F3="","",VLOOKUP($F3,Fonte!$G$2:$I$119,3,FALSE))</f>
        <v>l/ha</v>
      </c>
      <c r="J3" s="27">
        <v>120.0</v>
      </c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/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/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8.38"/>
    <col customWidth="1" min="6" max="6" width="20.88"/>
    <col customWidth="1" min="7" max="7" width="37.0"/>
    <col customWidth="1" min="8" max="8" width="10.5"/>
    <col customWidth="1" min="9" max="9" width="12.75"/>
    <col customWidth="1" min="10" max="10" width="9.38"/>
    <col customWidth="1" min="11" max="11" width="10.63"/>
    <col customWidth="1" min="12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43</v>
      </c>
      <c r="F1" s="17" t="s">
        <v>44</v>
      </c>
      <c r="G1" s="17" t="s">
        <v>45</v>
      </c>
      <c r="H1" s="17" t="s">
        <v>46</v>
      </c>
      <c r="I1" s="22" t="s">
        <v>47</v>
      </c>
      <c r="J1" s="22" t="s">
        <v>48</v>
      </c>
      <c r="K1" s="17" t="s">
        <v>49</v>
      </c>
    </row>
    <row r="2" ht="14.25" customHeight="1">
      <c r="A2" s="18" t="str">
        <f>IF('Cadastro Propriedade'!B$3="","",'Cadastro Propriedade'!B$3)</f>
        <v>Fazenda Ipê Amarelo</v>
      </c>
      <c r="B2" s="19" t="s">
        <v>32</v>
      </c>
      <c r="C2" s="19" t="s">
        <v>33</v>
      </c>
      <c r="D2" s="20">
        <v>500.0</v>
      </c>
      <c r="E2" s="19" t="s">
        <v>83</v>
      </c>
      <c r="F2" s="19" t="s">
        <v>84</v>
      </c>
      <c r="G2" s="1" t="str">
        <f>IF($F2="","",VLOOKUP($F2,Fonte!$G$2:$I$119,2,FALSE))</f>
        <v>Diquat 200 g/l</v>
      </c>
      <c r="H2" s="26">
        <v>1.0</v>
      </c>
      <c r="I2" s="1" t="str">
        <f>IF($F2="","",VLOOKUP($F2,Fonte!$G$2:$I$119,3,FALSE))</f>
        <v>l/ha</v>
      </c>
      <c r="J2" s="27">
        <v>120.0</v>
      </c>
      <c r="K2" s="21"/>
    </row>
    <row r="3" ht="14.25" customHeight="1">
      <c r="A3" s="18" t="str">
        <f>IF('Cadastro Propriedade'!B$3="","",'Cadastro Propriedade'!B$3)</f>
        <v>Fazenda Ipê Amarelo</v>
      </c>
      <c r="B3" s="19"/>
      <c r="C3" s="19"/>
      <c r="D3" s="20"/>
      <c r="E3" s="19"/>
      <c r="F3" s="19"/>
      <c r="H3" s="26"/>
      <c r="J3" s="27"/>
      <c r="K3" s="21"/>
    </row>
    <row r="4" ht="14.25" customHeight="1">
      <c r="A4" s="18" t="str">
        <f>IF('Cadastro Propriedade'!B$3="","",'Cadastro Propriedade'!B$3)</f>
        <v>Fazenda Ipê Amarelo</v>
      </c>
      <c r="B4" s="19"/>
      <c r="C4" s="19"/>
      <c r="D4" s="20"/>
      <c r="E4" s="19"/>
      <c r="F4" s="19"/>
      <c r="G4" s="1" t="str">
        <f>IF($F4="","",VLOOKUP($F4,Fonte!$G$2:$I$119,2,FALSE))</f>
        <v/>
      </c>
      <c r="H4" s="26"/>
      <c r="I4" s="1" t="str">
        <f>IF($F4="","",VLOOKUP($F4,Fonte!$G$2:$I$119,3,FALSE))</f>
        <v/>
      </c>
      <c r="J4" s="27"/>
      <c r="K4" s="21"/>
    </row>
    <row r="5" ht="14.25" customHeight="1">
      <c r="A5" s="18" t="str">
        <f>IF('Cadastro Propriedade'!B$3="","",'Cadastro Propriedade'!B$3)</f>
        <v>Fazenda Ipê Amarelo</v>
      </c>
      <c r="B5" s="19"/>
      <c r="C5" s="19"/>
      <c r="D5" s="20"/>
      <c r="E5" s="19"/>
      <c r="F5" s="19"/>
      <c r="G5" s="1" t="str">
        <f>IF($F5="","",VLOOKUP($F5,Fonte!$G$2:$I$119,2,FALSE))</f>
        <v/>
      </c>
      <c r="H5" s="26"/>
      <c r="I5" s="1" t="str">
        <f>IF($F5="","",VLOOKUP($F5,Fonte!$G$2:$I$119,3,FALSE))</f>
        <v/>
      </c>
      <c r="J5" s="27"/>
      <c r="K5" s="21"/>
    </row>
    <row r="6" ht="14.25" customHeight="1">
      <c r="A6" s="18" t="str">
        <f>IF('Cadastro Propriedade'!B$3="","",'Cadastro Propriedade'!B$3)</f>
        <v>Fazenda Ipê Amarelo</v>
      </c>
      <c r="B6" s="19"/>
      <c r="C6" s="19"/>
      <c r="D6" s="20"/>
      <c r="E6" s="19"/>
      <c r="F6" s="19"/>
      <c r="G6" s="1" t="str">
        <f>IF($F6="","",VLOOKUP($F6,Fonte!$G$2:$I$119,2,FALSE))</f>
        <v/>
      </c>
      <c r="H6" s="26"/>
      <c r="I6" s="1" t="str">
        <f>IF($F6="","",VLOOKUP($F6,Fonte!$G$2:$I$119,3,FALSE))</f>
        <v/>
      </c>
      <c r="J6" s="20"/>
      <c r="K6" s="21"/>
    </row>
    <row r="7" ht="14.25" customHeight="1">
      <c r="A7" s="18" t="str">
        <f>IF('Cadastro Propriedade'!B$3="","",'Cadastro Propriedade'!B$3)</f>
        <v>Fazenda Ipê Amarelo</v>
      </c>
      <c r="B7" s="19"/>
      <c r="C7" s="19"/>
      <c r="D7" s="20"/>
      <c r="E7" s="19"/>
      <c r="F7" s="19"/>
      <c r="G7" s="1" t="str">
        <f>IF($F7="","",VLOOKUP($F7,Fonte!$G$2:$I$119,2,FALSE))</f>
        <v/>
      </c>
      <c r="H7" s="26"/>
      <c r="I7" s="1" t="str">
        <f>IF($F7="","",VLOOKUP($F7,Fonte!$G$2:$I$119,3,FALSE))</f>
        <v/>
      </c>
      <c r="J7" s="20"/>
      <c r="K7" s="2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7">
      <formula1>Fonte!$C$32:$C$41</formula1>
    </dataValidation>
    <dataValidation type="list" allowBlank="1" showErrorMessage="1" sqref="B2:B7">
      <formula1>'Áreas de Plantio'!$B$2:$B$10</formula1>
    </dataValidation>
    <dataValidation type="list" allowBlank="1" showErrorMessage="1" sqref="F2:F7">
      <formula1>Fonte!$G$2:$G$112</formula1>
    </dataValidation>
    <dataValidation type="list" allowBlank="1" showErrorMessage="1" sqref="C2:C7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3.63"/>
    <col customWidth="1" min="3" max="3" width="9.0"/>
    <col customWidth="1" min="4" max="4" width="9.88"/>
    <col customWidth="1" min="5" max="5" width="10.63"/>
    <col customWidth="1" min="6" max="6" width="11.88"/>
    <col customWidth="1" min="7" max="7" width="13.0"/>
    <col customWidth="1" min="8" max="26" width="8.63"/>
  </cols>
  <sheetData>
    <row r="1" ht="14.25" customHeigh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31</v>
      </c>
      <c r="F1" s="17" t="s">
        <v>85</v>
      </c>
      <c r="G1" s="22" t="s">
        <v>86</v>
      </c>
    </row>
    <row r="2" ht="14.25" customHeight="1">
      <c r="A2" s="18" t="str">
        <f>IF('Cadastro Propriedade'!B$3="","",'Cadastro Propriedade'!B$3)</f>
        <v>Fazenda Ipê Amarelo</v>
      </c>
      <c r="B2" s="18" t="s">
        <v>32</v>
      </c>
      <c r="C2" s="18" t="s">
        <v>33</v>
      </c>
      <c r="D2" s="23">
        <v>500.0</v>
      </c>
      <c r="E2" s="29">
        <v>46064.0</v>
      </c>
      <c r="F2" s="21"/>
      <c r="G2" s="20"/>
    </row>
    <row r="3" ht="14.25" customHeight="1">
      <c r="A3" s="18" t="str">
        <f>IF('Cadastro Propriedade'!B$3="","",'Cadastro Propriedade'!B$3)</f>
        <v>Fazenda Ipê Amarelo</v>
      </c>
      <c r="B3" s="18" t="s">
        <v>34</v>
      </c>
      <c r="C3" s="18"/>
      <c r="D3" s="23"/>
      <c r="E3" s="29"/>
      <c r="F3" s="21"/>
      <c r="G3" s="20"/>
    </row>
    <row r="4" ht="14.25" customHeight="1">
      <c r="A4" s="18" t="str">
        <f>IF('Cadastro Propriedade'!B$3="","",'Cadastro Propriedade'!B$3)</f>
        <v>Fazenda Ipê Amarelo</v>
      </c>
      <c r="B4" s="18" t="s">
        <v>35</v>
      </c>
      <c r="C4" s="18"/>
      <c r="D4" s="23"/>
      <c r="E4" s="29"/>
      <c r="F4" s="21"/>
      <c r="G4" s="20"/>
    </row>
    <row r="5" ht="14.25" customHeight="1">
      <c r="A5" s="18" t="str">
        <f>IF('Cadastro Propriedade'!B$3="","",'Cadastro Propriedade'!B$3)</f>
        <v>Fazenda Ipê Amarelo</v>
      </c>
      <c r="B5" s="18"/>
      <c r="C5" s="18"/>
      <c r="D5" s="23"/>
      <c r="E5" s="29"/>
      <c r="F5" s="21"/>
      <c r="G5" s="20"/>
    </row>
    <row r="6" ht="14.25" customHeight="1">
      <c r="A6" s="18" t="str">
        <f>IF('Cadastro Propriedade'!B$3="","",'Cadastro Propriedade'!B$3)</f>
        <v>Fazenda Ipê Amarelo</v>
      </c>
      <c r="B6" s="18"/>
      <c r="C6" s="18"/>
      <c r="D6" s="23"/>
      <c r="E6" s="29"/>
      <c r="F6" s="21"/>
      <c r="G6" s="20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2:C6">
      <formula1>Fonte!$C$17:$C$26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.0"/>
    <col customWidth="1" min="2" max="2" width="17.0"/>
    <col customWidth="1" min="3" max="3" width="26.88"/>
    <col customWidth="1" min="4" max="4" width="15.88"/>
    <col customWidth="1" min="5" max="5" width="6.38"/>
    <col customWidth="1" min="6" max="6" width="26.5"/>
    <col customWidth="1" min="7" max="7" width="28.0"/>
    <col customWidth="1" min="8" max="8" width="55.13"/>
    <col customWidth="1" min="9" max="26" width="17.0"/>
  </cols>
  <sheetData>
    <row r="1" ht="14.25" customHeight="1">
      <c r="A1" s="30" t="s">
        <v>87</v>
      </c>
      <c r="B1" s="31" t="s">
        <v>88</v>
      </c>
      <c r="C1" s="32" t="s">
        <v>89</v>
      </c>
      <c r="E1" s="1" t="s">
        <v>90</v>
      </c>
      <c r="F1" s="1" t="s">
        <v>43</v>
      </c>
      <c r="G1" s="1" t="s">
        <v>44</v>
      </c>
      <c r="H1" s="1" t="s">
        <v>45</v>
      </c>
      <c r="I1" s="1" t="s">
        <v>91</v>
      </c>
    </row>
    <row r="2" ht="14.25" customHeight="1">
      <c r="A2" s="33" t="s">
        <v>92</v>
      </c>
      <c r="B2" s="34" t="s">
        <v>93</v>
      </c>
      <c r="C2" s="35" t="s">
        <v>94</v>
      </c>
      <c r="E2" s="1">
        <v>1.0</v>
      </c>
      <c r="F2" s="1" t="s">
        <v>52</v>
      </c>
      <c r="G2" s="1" t="s">
        <v>95</v>
      </c>
      <c r="H2" s="1" t="s">
        <v>96</v>
      </c>
      <c r="I2" s="1" t="s">
        <v>97</v>
      </c>
    </row>
    <row r="3" ht="14.25" customHeight="1">
      <c r="A3" s="33" t="s">
        <v>98</v>
      </c>
      <c r="B3" s="34" t="s">
        <v>99</v>
      </c>
      <c r="C3" s="35" t="s">
        <v>100</v>
      </c>
      <c r="E3" s="1">
        <v>1.0</v>
      </c>
      <c r="F3" s="1" t="s">
        <v>52</v>
      </c>
      <c r="G3" s="1" t="s">
        <v>101</v>
      </c>
      <c r="H3" s="1" t="s">
        <v>102</v>
      </c>
      <c r="I3" s="1" t="s">
        <v>97</v>
      </c>
    </row>
    <row r="4" ht="14.25" customHeight="1">
      <c r="A4" s="33" t="s">
        <v>103</v>
      </c>
      <c r="B4" s="34" t="s">
        <v>104</v>
      </c>
      <c r="C4" s="35" t="s">
        <v>97</v>
      </c>
      <c r="E4" s="1">
        <v>1.0</v>
      </c>
      <c r="F4" s="1" t="s">
        <v>52</v>
      </c>
      <c r="G4" s="1" t="s">
        <v>105</v>
      </c>
      <c r="H4" s="1" t="s">
        <v>106</v>
      </c>
      <c r="I4" s="1" t="s">
        <v>97</v>
      </c>
    </row>
    <row r="5" ht="14.25" customHeight="1">
      <c r="A5" s="33" t="s">
        <v>107</v>
      </c>
      <c r="B5" s="34" t="s">
        <v>108</v>
      </c>
      <c r="C5" s="35" t="s">
        <v>109</v>
      </c>
      <c r="E5" s="1">
        <v>1.0</v>
      </c>
      <c r="F5" s="1" t="s">
        <v>52</v>
      </c>
      <c r="G5" s="1" t="s">
        <v>53</v>
      </c>
      <c r="H5" s="1" t="s">
        <v>110</v>
      </c>
      <c r="I5" s="1" t="s">
        <v>97</v>
      </c>
    </row>
    <row r="6" ht="14.25" customHeight="1">
      <c r="A6" s="33" t="s">
        <v>111</v>
      </c>
      <c r="B6" s="34" t="s">
        <v>112</v>
      </c>
      <c r="C6" s="35" t="s">
        <v>113</v>
      </c>
      <c r="E6" s="1">
        <v>1.0</v>
      </c>
      <c r="F6" s="1" t="s">
        <v>52</v>
      </c>
      <c r="G6" s="1" t="s">
        <v>61</v>
      </c>
      <c r="H6" s="1" t="s">
        <v>114</v>
      </c>
      <c r="I6" s="1" t="s">
        <v>97</v>
      </c>
    </row>
    <row r="7" ht="14.25" customHeight="1">
      <c r="A7" s="33" t="s">
        <v>115</v>
      </c>
      <c r="B7" s="34" t="s">
        <v>116</v>
      </c>
      <c r="C7" s="36"/>
      <c r="E7" s="1">
        <v>1.0</v>
      </c>
      <c r="F7" s="1" t="s">
        <v>52</v>
      </c>
      <c r="G7" s="1" t="s">
        <v>117</v>
      </c>
      <c r="H7" s="1" t="s">
        <v>118</v>
      </c>
      <c r="I7" s="1" t="s">
        <v>97</v>
      </c>
    </row>
    <row r="8" ht="14.25" customHeight="1">
      <c r="A8" s="33" t="s">
        <v>119</v>
      </c>
      <c r="B8" s="34" t="s">
        <v>120</v>
      </c>
      <c r="E8" s="1">
        <v>1.0</v>
      </c>
      <c r="F8" s="1" t="s">
        <v>52</v>
      </c>
      <c r="G8" s="1" t="s">
        <v>121</v>
      </c>
      <c r="H8" s="1" t="s">
        <v>122</v>
      </c>
      <c r="I8" s="1" t="s">
        <v>97</v>
      </c>
    </row>
    <row r="9" ht="14.25" customHeight="1">
      <c r="A9" s="33" t="s">
        <v>123</v>
      </c>
      <c r="B9" s="34" t="s">
        <v>124</v>
      </c>
      <c r="C9" s="32" t="s">
        <v>125</v>
      </c>
      <c r="E9" s="1">
        <v>1.0</v>
      </c>
      <c r="F9" s="1" t="s">
        <v>52</v>
      </c>
      <c r="G9" s="1" t="s">
        <v>126</v>
      </c>
      <c r="H9" s="1" t="s">
        <v>127</v>
      </c>
      <c r="I9" s="1" t="s">
        <v>97</v>
      </c>
    </row>
    <row r="10" ht="14.25" customHeight="1">
      <c r="A10" s="33" t="s">
        <v>128</v>
      </c>
      <c r="B10" s="34" t="s">
        <v>129</v>
      </c>
      <c r="C10" s="35" t="s">
        <v>68</v>
      </c>
      <c r="E10" s="1">
        <v>1.0</v>
      </c>
      <c r="F10" s="1" t="s">
        <v>52</v>
      </c>
      <c r="G10" s="1" t="s">
        <v>62</v>
      </c>
      <c r="I10" s="1" t="s">
        <v>97</v>
      </c>
    </row>
    <row r="11" ht="14.25" customHeight="1">
      <c r="A11" s="33" t="s">
        <v>130</v>
      </c>
      <c r="B11" s="34" t="s">
        <v>131</v>
      </c>
      <c r="C11" s="35" t="s">
        <v>132</v>
      </c>
      <c r="E11" s="1">
        <v>1.0</v>
      </c>
      <c r="F11" s="1" t="s">
        <v>52</v>
      </c>
      <c r="G11" s="1" t="s">
        <v>63</v>
      </c>
      <c r="I11" s="1" t="s">
        <v>97</v>
      </c>
    </row>
    <row r="12" ht="14.25" customHeight="1">
      <c r="A12" s="33" t="s">
        <v>133</v>
      </c>
      <c r="B12" s="34" t="s">
        <v>134</v>
      </c>
      <c r="C12" s="35" t="s">
        <v>135</v>
      </c>
      <c r="E12" s="1">
        <v>1.0</v>
      </c>
      <c r="F12" s="1" t="s">
        <v>52</v>
      </c>
      <c r="G12" s="1" t="s">
        <v>64</v>
      </c>
      <c r="I12" s="1" t="s">
        <v>97</v>
      </c>
    </row>
    <row r="13" ht="14.25" customHeight="1">
      <c r="A13" s="33" t="s">
        <v>136</v>
      </c>
      <c r="B13" s="34" t="s">
        <v>137</v>
      </c>
      <c r="C13" s="36"/>
      <c r="E13" s="1">
        <v>1.0</v>
      </c>
      <c r="F13" s="1" t="s">
        <v>52</v>
      </c>
      <c r="G13" s="1" t="s">
        <v>138</v>
      </c>
      <c r="I13" s="1" t="s">
        <v>97</v>
      </c>
    </row>
    <row r="14" ht="14.25" customHeight="1">
      <c r="A14" s="33" t="s">
        <v>139</v>
      </c>
      <c r="B14" s="34" t="s">
        <v>140</v>
      </c>
      <c r="E14" s="1">
        <v>1.0</v>
      </c>
      <c r="F14" s="1" t="s">
        <v>52</v>
      </c>
      <c r="G14" s="1" t="s">
        <v>141</v>
      </c>
      <c r="H14" s="1" t="s">
        <v>141</v>
      </c>
    </row>
    <row r="15" ht="14.25" customHeight="1">
      <c r="A15" s="33" t="s">
        <v>142</v>
      </c>
      <c r="B15" s="34" t="s">
        <v>143</v>
      </c>
      <c r="E15" s="1">
        <v>2.0</v>
      </c>
      <c r="F15" s="1" t="s">
        <v>55</v>
      </c>
      <c r="G15" s="1" t="s">
        <v>56</v>
      </c>
      <c r="H15" s="1" t="s">
        <v>144</v>
      </c>
      <c r="I15" s="1" t="s">
        <v>109</v>
      </c>
    </row>
    <row r="16" ht="14.25" customHeight="1">
      <c r="A16" s="33" t="s">
        <v>145</v>
      </c>
      <c r="B16" s="34" t="s">
        <v>146</v>
      </c>
      <c r="C16" s="32" t="s">
        <v>147</v>
      </c>
      <c r="E16" s="1">
        <v>2.0</v>
      </c>
      <c r="F16" s="1" t="s">
        <v>55</v>
      </c>
      <c r="G16" s="1" t="s">
        <v>148</v>
      </c>
      <c r="H16" s="1" t="s">
        <v>144</v>
      </c>
      <c r="I16" s="1" t="s">
        <v>109</v>
      </c>
    </row>
    <row r="17" ht="14.25" customHeight="1">
      <c r="A17" s="33" t="s">
        <v>149</v>
      </c>
      <c r="B17" s="34" t="s">
        <v>150</v>
      </c>
      <c r="C17" s="35" t="s">
        <v>33</v>
      </c>
      <c r="E17" s="1">
        <v>2.0</v>
      </c>
      <c r="F17" s="1" t="s">
        <v>55</v>
      </c>
      <c r="G17" s="1" t="s">
        <v>151</v>
      </c>
      <c r="H17" s="1" t="s">
        <v>144</v>
      </c>
      <c r="I17" s="1" t="s">
        <v>109</v>
      </c>
    </row>
    <row r="18" ht="14.25" customHeight="1">
      <c r="A18" s="33" t="s">
        <v>152</v>
      </c>
      <c r="B18" s="34" t="s">
        <v>153</v>
      </c>
      <c r="C18" s="35" t="s">
        <v>154</v>
      </c>
      <c r="E18" s="1">
        <v>2.0</v>
      </c>
      <c r="F18" s="1" t="s">
        <v>55</v>
      </c>
      <c r="G18" s="1" t="s">
        <v>155</v>
      </c>
      <c r="H18" s="1" t="s">
        <v>156</v>
      </c>
      <c r="I18" s="1" t="s">
        <v>109</v>
      </c>
    </row>
    <row r="19" ht="14.25" customHeight="1">
      <c r="A19" s="33" t="s">
        <v>157</v>
      </c>
      <c r="B19" s="34" t="s">
        <v>158</v>
      </c>
      <c r="C19" s="35" t="s">
        <v>159</v>
      </c>
      <c r="E19" s="1">
        <v>2.0</v>
      </c>
      <c r="F19" s="1" t="s">
        <v>55</v>
      </c>
      <c r="G19" s="1" t="s">
        <v>160</v>
      </c>
      <c r="H19" s="1" t="s">
        <v>161</v>
      </c>
      <c r="I19" s="1" t="s">
        <v>109</v>
      </c>
    </row>
    <row r="20" ht="14.25" customHeight="1">
      <c r="A20" s="33" t="s">
        <v>162</v>
      </c>
      <c r="B20" s="34" t="s">
        <v>163</v>
      </c>
      <c r="C20" s="35" t="s">
        <v>164</v>
      </c>
      <c r="E20" s="1">
        <v>2.0</v>
      </c>
      <c r="F20" s="1" t="s">
        <v>55</v>
      </c>
      <c r="G20" s="1" t="s">
        <v>165</v>
      </c>
      <c r="H20" s="1" t="s">
        <v>161</v>
      </c>
      <c r="I20" s="1" t="s">
        <v>109</v>
      </c>
    </row>
    <row r="21" ht="14.25" customHeight="1">
      <c r="A21" s="33" t="s">
        <v>166</v>
      </c>
      <c r="B21" s="34" t="s">
        <v>167</v>
      </c>
      <c r="C21" s="35" t="s">
        <v>168</v>
      </c>
      <c r="E21" s="1">
        <v>2.0</v>
      </c>
      <c r="F21" s="1" t="s">
        <v>55</v>
      </c>
      <c r="G21" s="1" t="s">
        <v>58</v>
      </c>
      <c r="H21" s="1" t="s">
        <v>58</v>
      </c>
      <c r="I21" s="1" t="s">
        <v>109</v>
      </c>
    </row>
    <row r="22" ht="14.25" customHeight="1">
      <c r="A22" s="33" t="s">
        <v>169</v>
      </c>
      <c r="B22" s="34" t="s">
        <v>170</v>
      </c>
      <c r="C22" s="35" t="s">
        <v>171</v>
      </c>
      <c r="E22" s="1">
        <v>2.0</v>
      </c>
      <c r="F22" s="1" t="s">
        <v>55</v>
      </c>
      <c r="G22" s="1" t="s">
        <v>59</v>
      </c>
      <c r="H22" s="1" t="s">
        <v>59</v>
      </c>
      <c r="I22" s="1" t="s">
        <v>109</v>
      </c>
    </row>
    <row r="23" ht="14.25" customHeight="1">
      <c r="A23" s="33" t="s">
        <v>172</v>
      </c>
      <c r="B23" s="34" t="s">
        <v>173</v>
      </c>
      <c r="C23" s="35" t="s">
        <v>174</v>
      </c>
      <c r="E23" s="1">
        <v>2.0</v>
      </c>
      <c r="F23" s="1" t="s">
        <v>55</v>
      </c>
      <c r="G23" s="1" t="s">
        <v>175</v>
      </c>
      <c r="H23" s="1" t="s">
        <v>176</v>
      </c>
      <c r="I23" s="1" t="s">
        <v>109</v>
      </c>
    </row>
    <row r="24" ht="14.25" customHeight="1">
      <c r="A24" s="33" t="s">
        <v>177</v>
      </c>
      <c r="B24" s="34" t="s">
        <v>178</v>
      </c>
      <c r="C24" s="35" t="s">
        <v>179</v>
      </c>
      <c r="E24" s="1">
        <v>2.0</v>
      </c>
      <c r="F24" s="1" t="s">
        <v>55</v>
      </c>
      <c r="G24" s="1" t="s">
        <v>57</v>
      </c>
      <c r="H24" s="1" t="s">
        <v>176</v>
      </c>
      <c r="I24" s="1" t="s">
        <v>109</v>
      </c>
    </row>
    <row r="25" ht="14.25" customHeight="1">
      <c r="A25" s="33" t="s">
        <v>180</v>
      </c>
      <c r="B25" s="34" t="s">
        <v>181</v>
      </c>
      <c r="C25" s="36"/>
      <c r="E25" s="1">
        <v>2.0</v>
      </c>
      <c r="F25" s="1" t="s">
        <v>55</v>
      </c>
      <c r="G25" s="1" t="s">
        <v>182</v>
      </c>
      <c r="H25" s="1" t="s">
        <v>176</v>
      </c>
      <c r="I25" s="1" t="s">
        <v>109</v>
      </c>
    </row>
    <row r="26" ht="14.25" customHeight="1">
      <c r="A26" s="33" t="s">
        <v>183</v>
      </c>
      <c r="B26" s="34" t="s">
        <v>184</v>
      </c>
      <c r="E26" s="1">
        <v>2.0</v>
      </c>
      <c r="F26" s="1" t="s">
        <v>55</v>
      </c>
      <c r="G26" s="1" t="s">
        <v>185</v>
      </c>
      <c r="H26" s="1" t="s">
        <v>176</v>
      </c>
      <c r="I26" s="1" t="s">
        <v>109</v>
      </c>
    </row>
    <row r="27" ht="14.25" customHeight="1">
      <c r="A27" s="33" t="s">
        <v>186</v>
      </c>
      <c r="B27" s="34" t="s">
        <v>187</v>
      </c>
      <c r="C27" s="32" t="s">
        <v>42</v>
      </c>
      <c r="E27" s="1">
        <v>2.0</v>
      </c>
      <c r="F27" s="1" t="s">
        <v>55</v>
      </c>
      <c r="G27" s="1" t="s">
        <v>141</v>
      </c>
      <c r="H27" s="1" t="s">
        <v>141</v>
      </c>
    </row>
    <row r="28" ht="14.25" customHeight="1">
      <c r="A28" s="33" t="s">
        <v>8</v>
      </c>
      <c r="B28" s="34" t="s">
        <v>188</v>
      </c>
      <c r="C28" s="36" t="s">
        <v>189</v>
      </c>
      <c r="E28" s="1">
        <v>3.0</v>
      </c>
      <c r="F28" s="1" t="s">
        <v>50</v>
      </c>
      <c r="G28" s="1" t="s">
        <v>190</v>
      </c>
      <c r="H28" s="1" t="s">
        <v>191</v>
      </c>
      <c r="I28" s="1" t="s">
        <v>100</v>
      </c>
    </row>
    <row r="29" ht="14.25" customHeight="1">
      <c r="A29" s="37"/>
      <c r="B29" s="38"/>
      <c r="E29" s="1">
        <v>3.0</v>
      </c>
      <c r="F29" s="1" t="s">
        <v>50</v>
      </c>
      <c r="G29" s="1" t="s">
        <v>192</v>
      </c>
      <c r="H29" s="1" t="s">
        <v>191</v>
      </c>
      <c r="I29" s="1" t="s">
        <v>100</v>
      </c>
    </row>
    <row r="30" ht="14.25" customHeight="1">
      <c r="E30" s="1">
        <v>3.0</v>
      </c>
      <c r="F30" s="1" t="s">
        <v>50</v>
      </c>
      <c r="G30" s="1" t="s">
        <v>193</v>
      </c>
      <c r="H30" s="1" t="s">
        <v>191</v>
      </c>
      <c r="I30" s="1" t="s">
        <v>100</v>
      </c>
    </row>
    <row r="31" ht="14.25" customHeight="1">
      <c r="C31" s="1" t="s">
        <v>194</v>
      </c>
      <c r="E31" s="1">
        <v>3.0</v>
      </c>
      <c r="F31" s="1" t="s">
        <v>50</v>
      </c>
      <c r="G31" s="1" t="s">
        <v>195</v>
      </c>
      <c r="H31" s="1" t="s">
        <v>196</v>
      </c>
      <c r="I31" s="1" t="s">
        <v>100</v>
      </c>
    </row>
    <row r="32" ht="14.25" customHeight="1">
      <c r="C32" s="32" t="s">
        <v>52</v>
      </c>
      <c r="E32" s="1">
        <v>3.0</v>
      </c>
      <c r="F32" s="1" t="s">
        <v>50</v>
      </c>
      <c r="G32" s="1" t="s">
        <v>51</v>
      </c>
      <c r="H32" s="1" t="s">
        <v>196</v>
      </c>
      <c r="I32" s="1" t="s">
        <v>100</v>
      </c>
    </row>
    <row r="33" ht="14.25" customHeight="1">
      <c r="C33" s="35" t="s">
        <v>55</v>
      </c>
      <c r="E33" s="1">
        <v>3.0</v>
      </c>
      <c r="F33" s="1" t="s">
        <v>50</v>
      </c>
      <c r="G33" s="1" t="s">
        <v>197</v>
      </c>
      <c r="H33" s="1" t="s">
        <v>198</v>
      </c>
      <c r="I33" s="1" t="s">
        <v>100</v>
      </c>
    </row>
    <row r="34" ht="14.25" customHeight="1">
      <c r="C34" s="35" t="s">
        <v>50</v>
      </c>
      <c r="E34" s="1">
        <v>3.0</v>
      </c>
      <c r="F34" s="1" t="s">
        <v>50</v>
      </c>
      <c r="G34" s="1" t="s">
        <v>199</v>
      </c>
      <c r="H34" s="1" t="s">
        <v>198</v>
      </c>
      <c r="I34" s="1" t="s">
        <v>100</v>
      </c>
    </row>
    <row r="35" ht="14.25" customHeight="1">
      <c r="C35" s="35" t="s">
        <v>69</v>
      </c>
      <c r="E35" s="1">
        <v>3.0</v>
      </c>
      <c r="F35" s="1" t="s">
        <v>50</v>
      </c>
      <c r="G35" s="1" t="s">
        <v>200</v>
      </c>
      <c r="H35" s="1" t="s">
        <v>201</v>
      </c>
      <c r="I35" s="1" t="s">
        <v>100</v>
      </c>
    </row>
    <row r="36" ht="14.25" customHeight="1">
      <c r="C36" s="35" t="s">
        <v>71</v>
      </c>
      <c r="E36" s="1">
        <v>3.0</v>
      </c>
      <c r="F36" s="1" t="s">
        <v>50</v>
      </c>
      <c r="G36" s="1" t="s">
        <v>202</v>
      </c>
      <c r="H36" s="1" t="s">
        <v>203</v>
      </c>
      <c r="I36" s="1" t="s">
        <v>97</v>
      </c>
    </row>
    <row r="37" ht="14.25" customHeight="1">
      <c r="C37" s="35" t="s">
        <v>73</v>
      </c>
      <c r="E37" s="1">
        <v>3.0</v>
      </c>
      <c r="F37" s="1" t="s">
        <v>50</v>
      </c>
      <c r="G37" s="1" t="s">
        <v>204</v>
      </c>
      <c r="H37" s="1" t="s">
        <v>203</v>
      </c>
      <c r="I37" s="1" t="s">
        <v>97</v>
      </c>
    </row>
    <row r="38" ht="14.25" customHeight="1">
      <c r="C38" s="35" t="s">
        <v>75</v>
      </c>
      <c r="E38" s="1">
        <v>3.0</v>
      </c>
      <c r="F38" s="1" t="s">
        <v>50</v>
      </c>
      <c r="G38" s="1" t="s">
        <v>205</v>
      </c>
      <c r="H38" s="1" t="s">
        <v>206</v>
      </c>
      <c r="I38" s="1" t="s">
        <v>100</v>
      </c>
    </row>
    <row r="39" ht="14.25" customHeight="1">
      <c r="C39" s="35" t="s">
        <v>77</v>
      </c>
      <c r="E39" s="1">
        <v>3.0</v>
      </c>
      <c r="F39" s="1" t="s">
        <v>50</v>
      </c>
      <c r="G39" s="1" t="s">
        <v>207</v>
      </c>
      <c r="H39" s="1" t="s">
        <v>206</v>
      </c>
      <c r="I39" s="1" t="s">
        <v>100</v>
      </c>
    </row>
    <row r="40" ht="14.25" customHeight="1">
      <c r="C40" s="35" t="s">
        <v>80</v>
      </c>
      <c r="E40" s="1">
        <v>3.0</v>
      </c>
      <c r="F40" s="1" t="s">
        <v>50</v>
      </c>
      <c r="G40" s="1" t="s">
        <v>54</v>
      </c>
      <c r="H40" s="1" t="s">
        <v>206</v>
      </c>
      <c r="I40" s="1" t="s">
        <v>100</v>
      </c>
    </row>
    <row r="41" ht="14.25" customHeight="1">
      <c r="C41" s="35" t="s">
        <v>83</v>
      </c>
      <c r="E41" s="1">
        <v>3.0</v>
      </c>
      <c r="F41" s="1" t="s">
        <v>50</v>
      </c>
      <c r="G41" s="1" t="s">
        <v>208</v>
      </c>
      <c r="H41" s="1" t="s">
        <v>206</v>
      </c>
      <c r="I41" s="1" t="s">
        <v>100</v>
      </c>
    </row>
    <row r="42" ht="14.25" customHeight="1">
      <c r="C42" s="35"/>
      <c r="E42" s="1">
        <v>3.0</v>
      </c>
      <c r="F42" s="1" t="s">
        <v>50</v>
      </c>
      <c r="G42" s="1" t="s">
        <v>209</v>
      </c>
      <c r="H42" s="1" t="s">
        <v>210</v>
      </c>
      <c r="I42" s="1" t="s">
        <v>100</v>
      </c>
    </row>
    <row r="43" ht="14.25" customHeight="1">
      <c r="C43" s="36"/>
      <c r="E43" s="1">
        <v>3.0</v>
      </c>
      <c r="F43" s="1" t="s">
        <v>50</v>
      </c>
      <c r="G43" s="1" t="s">
        <v>211</v>
      </c>
      <c r="H43" s="1" t="s">
        <v>210</v>
      </c>
      <c r="I43" s="1" t="s">
        <v>100</v>
      </c>
    </row>
    <row r="44" ht="14.25" customHeight="1">
      <c r="E44" s="1">
        <v>3.0</v>
      </c>
      <c r="F44" s="1" t="s">
        <v>50</v>
      </c>
      <c r="G44" s="1" t="s">
        <v>141</v>
      </c>
      <c r="H44" s="1" t="s">
        <v>141</v>
      </c>
    </row>
    <row r="45" ht="14.25" customHeight="1">
      <c r="E45" s="1">
        <v>4.0</v>
      </c>
      <c r="F45" s="1" t="s">
        <v>69</v>
      </c>
      <c r="G45" s="1" t="s">
        <v>70</v>
      </c>
      <c r="H45" s="1" t="s">
        <v>212</v>
      </c>
      <c r="I45" s="1" t="s">
        <v>94</v>
      </c>
    </row>
    <row r="46" ht="14.25" customHeight="1">
      <c r="E46" s="1">
        <v>4.0</v>
      </c>
      <c r="F46" s="1" t="s">
        <v>69</v>
      </c>
      <c r="G46" s="1" t="s">
        <v>141</v>
      </c>
      <c r="H46" s="1" t="s">
        <v>141</v>
      </c>
    </row>
    <row r="47" ht="14.25" customHeight="1">
      <c r="E47" s="1">
        <v>5.0</v>
      </c>
      <c r="F47" s="1" t="s">
        <v>71</v>
      </c>
      <c r="G47" s="1" t="s">
        <v>213</v>
      </c>
      <c r="H47" s="1" t="s">
        <v>214</v>
      </c>
      <c r="I47" s="1" t="s">
        <v>100</v>
      </c>
    </row>
    <row r="48" ht="14.25" customHeight="1">
      <c r="E48" s="1">
        <v>5.0</v>
      </c>
      <c r="F48" s="1" t="s">
        <v>71</v>
      </c>
      <c r="G48" s="1" t="s">
        <v>215</v>
      </c>
      <c r="H48" s="1" t="s">
        <v>214</v>
      </c>
      <c r="I48" s="1" t="s">
        <v>100</v>
      </c>
    </row>
    <row r="49" ht="14.25" customHeight="1">
      <c r="E49" s="1">
        <v>5.0</v>
      </c>
      <c r="F49" s="1" t="s">
        <v>71</v>
      </c>
      <c r="G49" s="1" t="s">
        <v>72</v>
      </c>
      <c r="H49" s="1" t="s">
        <v>214</v>
      </c>
      <c r="I49" s="1" t="s">
        <v>100</v>
      </c>
    </row>
    <row r="50" ht="14.25" customHeight="1">
      <c r="E50" s="1">
        <v>5.0</v>
      </c>
      <c r="F50" s="1" t="s">
        <v>71</v>
      </c>
      <c r="G50" s="1" t="s">
        <v>216</v>
      </c>
      <c r="H50" s="1" t="s">
        <v>217</v>
      </c>
      <c r="I50" s="1" t="s">
        <v>100</v>
      </c>
    </row>
    <row r="51" ht="14.25" customHeight="1">
      <c r="E51" s="1">
        <v>5.0</v>
      </c>
      <c r="F51" s="1" t="s">
        <v>71</v>
      </c>
      <c r="G51" s="1" t="s">
        <v>218</v>
      </c>
      <c r="H51" s="1" t="s">
        <v>219</v>
      </c>
      <c r="I51" s="1" t="s">
        <v>100</v>
      </c>
    </row>
    <row r="52" ht="14.25" customHeight="1">
      <c r="E52" s="1">
        <v>6.0</v>
      </c>
      <c r="F52" s="1" t="s">
        <v>73</v>
      </c>
      <c r="G52" s="1" t="s">
        <v>220</v>
      </c>
      <c r="H52" s="1" t="s">
        <v>221</v>
      </c>
      <c r="I52" s="1" t="s">
        <v>100</v>
      </c>
    </row>
    <row r="53" ht="14.25" customHeight="1">
      <c r="E53" s="1">
        <v>6.0</v>
      </c>
      <c r="F53" s="1" t="s">
        <v>73</v>
      </c>
      <c r="G53" s="1" t="s">
        <v>222</v>
      </c>
      <c r="H53" s="1" t="s">
        <v>221</v>
      </c>
      <c r="I53" s="1" t="s">
        <v>100</v>
      </c>
    </row>
    <row r="54" ht="14.25" customHeight="1">
      <c r="E54" s="1">
        <v>6.0</v>
      </c>
      <c r="F54" s="1" t="s">
        <v>73</v>
      </c>
      <c r="G54" s="1" t="s">
        <v>74</v>
      </c>
      <c r="H54" s="1" t="s">
        <v>223</v>
      </c>
      <c r="I54" s="1" t="s">
        <v>100</v>
      </c>
    </row>
    <row r="55" ht="14.25" customHeight="1">
      <c r="E55" s="1">
        <v>6.0</v>
      </c>
      <c r="F55" s="1" t="s">
        <v>73</v>
      </c>
      <c r="G55" s="1" t="s">
        <v>141</v>
      </c>
      <c r="H55" s="1" t="s">
        <v>141</v>
      </c>
    </row>
    <row r="56" ht="14.25" customHeight="1">
      <c r="E56" s="1">
        <v>7.0</v>
      </c>
      <c r="F56" s="1" t="s">
        <v>75</v>
      </c>
      <c r="G56" s="1" t="s">
        <v>76</v>
      </c>
      <c r="H56" s="1" t="s">
        <v>224</v>
      </c>
      <c r="I56" s="1" t="s">
        <v>97</v>
      </c>
    </row>
    <row r="57" ht="14.25" customHeight="1">
      <c r="E57" s="1">
        <v>7.0</v>
      </c>
      <c r="F57" s="1" t="s">
        <v>75</v>
      </c>
      <c r="G57" s="1" t="s">
        <v>225</v>
      </c>
      <c r="H57" s="1" t="s">
        <v>224</v>
      </c>
      <c r="I57" s="1" t="s">
        <v>97</v>
      </c>
    </row>
    <row r="58" ht="14.25" customHeight="1">
      <c r="E58" s="1">
        <v>7.0</v>
      </c>
      <c r="F58" s="1" t="s">
        <v>75</v>
      </c>
      <c r="G58" s="1" t="s">
        <v>226</v>
      </c>
      <c r="H58" s="1" t="s">
        <v>227</v>
      </c>
      <c r="I58" s="1" t="s">
        <v>100</v>
      </c>
    </row>
    <row r="59" ht="14.25" customHeight="1">
      <c r="E59" s="1">
        <v>7.0</v>
      </c>
      <c r="F59" s="1" t="s">
        <v>75</v>
      </c>
      <c r="G59" s="1" t="s">
        <v>228</v>
      </c>
      <c r="H59" s="1" t="s">
        <v>229</v>
      </c>
      <c r="I59" s="1" t="s">
        <v>97</v>
      </c>
    </row>
    <row r="60" ht="14.25" customHeight="1">
      <c r="E60" s="1">
        <v>7.0</v>
      </c>
      <c r="F60" s="1" t="s">
        <v>75</v>
      </c>
      <c r="G60" s="1" t="s">
        <v>230</v>
      </c>
      <c r="H60" s="1" t="s">
        <v>229</v>
      </c>
      <c r="I60" s="1" t="s">
        <v>97</v>
      </c>
    </row>
    <row r="61" ht="14.25" customHeight="1">
      <c r="E61" s="1">
        <v>7.0</v>
      </c>
      <c r="F61" s="1" t="s">
        <v>75</v>
      </c>
      <c r="G61" s="1" t="s">
        <v>231</v>
      </c>
      <c r="H61" s="1" t="s">
        <v>232</v>
      </c>
      <c r="I61" s="1" t="s">
        <v>100</v>
      </c>
    </row>
    <row r="62" ht="14.25" customHeight="1">
      <c r="E62" s="1">
        <v>7.0</v>
      </c>
      <c r="F62" s="1" t="s">
        <v>75</v>
      </c>
      <c r="G62" s="1" t="s">
        <v>233</v>
      </c>
      <c r="H62" s="1" t="s">
        <v>232</v>
      </c>
      <c r="I62" s="1" t="s">
        <v>100</v>
      </c>
    </row>
    <row r="63" ht="14.25" customHeight="1">
      <c r="E63" s="1">
        <v>7.0</v>
      </c>
      <c r="F63" s="1" t="s">
        <v>75</v>
      </c>
      <c r="G63" s="1" t="s">
        <v>234</v>
      </c>
      <c r="H63" s="1" t="s">
        <v>235</v>
      </c>
      <c r="I63" s="1" t="s">
        <v>100</v>
      </c>
    </row>
    <row r="64" ht="14.25" customHeight="1">
      <c r="E64" s="1">
        <v>7.0</v>
      </c>
      <c r="F64" s="1" t="s">
        <v>75</v>
      </c>
      <c r="G64" s="1" t="s">
        <v>236</v>
      </c>
      <c r="H64" s="1" t="s">
        <v>237</v>
      </c>
      <c r="I64" s="1" t="s">
        <v>100</v>
      </c>
    </row>
    <row r="65" ht="14.25" customHeight="1">
      <c r="E65" s="1">
        <v>7.0</v>
      </c>
      <c r="F65" s="1" t="s">
        <v>75</v>
      </c>
      <c r="G65" s="1" t="s">
        <v>238</v>
      </c>
      <c r="H65" s="1" t="s">
        <v>239</v>
      </c>
      <c r="I65" s="1" t="s">
        <v>100</v>
      </c>
    </row>
    <row r="66" ht="14.25" customHeight="1">
      <c r="E66" s="1">
        <v>7.0</v>
      </c>
      <c r="F66" s="1" t="s">
        <v>75</v>
      </c>
      <c r="G66" s="1" t="s">
        <v>240</v>
      </c>
      <c r="H66" s="1" t="s">
        <v>241</v>
      </c>
      <c r="I66" s="1" t="s">
        <v>100</v>
      </c>
    </row>
    <row r="67" ht="14.25" customHeight="1">
      <c r="E67" s="1">
        <v>7.0</v>
      </c>
      <c r="F67" s="1" t="s">
        <v>75</v>
      </c>
      <c r="G67" s="1" t="s">
        <v>242</v>
      </c>
      <c r="H67" s="1" t="s">
        <v>241</v>
      </c>
      <c r="I67" s="1" t="s">
        <v>100</v>
      </c>
    </row>
    <row r="68" ht="14.25" customHeight="1">
      <c r="E68" s="1">
        <v>7.0</v>
      </c>
      <c r="F68" s="1" t="s">
        <v>75</v>
      </c>
      <c r="G68" s="1" t="s">
        <v>243</v>
      </c>
      <c r="H68" s="1" t="s">
        <v>244</v>
      </c>
      <c r="I68" s="1" t="s">
        <v>100</v>
      </c>
    </row>
    <row r="69" ht="14.25" customHeight="1">
      <c r="E69" s="1">
        <v>7.0</v>
      </c>
      <c r="F69" s="1" t="s">
        <v>75</v>
      </c>
      <c r="G69" s="1" t="s">
        <v>245</v>
      </c>
      <c r="H69" s="1" t="s">
        <v>244</v>
      </c>
      <c r="I69" s="1" t="s">
        <v>100</v>
      </c>
    </row>
    <row r="70" ht="14.25" customHeight="1">
      <c r="E70" s="1">
        <v>7.0</v>
      </c>
      <c r="F70" s="1" t="s">
        <v>75</v>
      </c>
      <c r="G70" s="1" t="s">
        <v>246</v>
      </c>
      <c r="H70" s="1" t="s">
        <v>247</v>
      </c>
      <c r="I70" s="1" t="s">
        <v>100</v>
      </c>
    </row>
    <row r="71" ht="14.25" customHeight="1">
      <c r="E71" s="1">
        <v>7.0</v>
      </c>
      <c r="F71" s="1" t="s">
        <v>75</v>
      </c>
      <c r="G71" s="1" t="s">
        <v>248</v>
      </c>
      <c r="H71" s="1" t="s">
        <v>247</v>
      </c>
      <c r="I71" s="1" t="s">
        <v>100</v>
      </c>
    </row>
    <row r="72" ht="14.25" customHeight="1">
      <c r="E72" s="1">
        <v>7.0</v>
      </c>
      <c r="F72" s="1" t="s">
        <v>75</v>
      </c>
      <c r="G72" s="1" t="s">
        <v>249</v>
      </c>
      <c r="H72" s="1" t="s">
        <v>247</v>
      </c>
      <c r="I72" s="1" t="s">
        <v>100</v>
      </c>
    </row>
    <row r="73" ht="14.25" customHeight="1">
      <c r="E73" s="1">
        <v>7.0</v>
      </c>
      <c r="F73" s="1" t="s">
        <v>75</v>
      </c>
      <c r="G73" s="1" t="s">
        <v>250</v>
      </c>
      <c r="H73" s="1" t="s">
        <v>247</v>
      </c>
      <c r="I73" s="1" t="s">
        <v>100</v>
      </c>
    </row>
    <row r="74" ht="14.25" customHeight="1">
      <c r="E74" s="1">
        <v>7.0</v>
      </c>
      <c r="F74" s="1" t="s">
        <v>75</v>
      </c>
      <c r="G74" s="1" t="s">
        <v>251</v>
      </c>
      <c r="H74" s="1" t="s">
        <v>247</v>
      </c>
      <c r="I74" s="1" t="s">
        <v>100</v>
      </c>
    </row>
    <row r="75" ht="14.25" customHeight="1">
      <c r="E75" s="1">
        <v>7.0</v>
      </c>
      <c r="F75" s="1" t="s">
        <v>75</v>
      </c>
      <c r="G75" s="1" t="s">
        <v>252</v>
      </c>
      <c r="H75" s="1" t="s">
        <v>253</v>
      </c>
      <c r="I75" s="1" t="s">
        <v>100</v>
      </c>
    </row>
    <row r="76" ht="14.25" customHeight="1">
      <c r="E76" s="1">
        <v>7.0</v>
      </c>
      <c r="F76" s="1" t="s">
        <v>75</v>
      </c>
      <c r="G76" s="1" t="s">
        <v>141</v>
      </c>
      <c r="H76" s="1" t="s">
        <v>141</v>
      </c>
    </row>
    <row r="77" ht="14.25" customHeight="1">
      <c r="E77" s="1">
        <v>8.0</v>
      </c>
      <c r="F77" s="1" t="s">
        <v>77</v>
      </c>
      <c r="G77" s="1" t="s">
        <v>254</v>
      </c>
      <c r="H77" s="1" t="s">
        <v>255</v>
      </c>
      <c r="I77" s="1" t="s">
        <v>100</v>
      </c>
    </row>
    <row r="78" ht="14.25" customHeight="1">
      <c r="E78" s="1">
        <v>8.0</v>
      </c>
      <c r="F78" s="1" t="s">
        <v>77</v>
      </c>
      <c r="G78" s="1" t="s">
        <v>256</v>
      </c>
      <c r="H78" s="1" t="s">
        <v>255</v>
      </c>
      <c r="I78" s="1" t="s">
        <v>100</v>
      </c>
    </row>
    <row r="79" ht="14.25" customHeight="1">
      <c r="E79" s="1">
        <v>8.0</v>
      </c>
      <c r="F79" s="1" t="s">
        <v>77</v>
      </c>
      <c r="G79" s="1" t="s">
        <v>257</v>
      </c>
      <c r="H79" s="1" t="s">
        <v>258</v>
      </c>
      <c r="I79" s="1" t="s">
        <v>100</v>
      </c>
    </row>
    <row r="80" ht="14.25" customHeight="1">
      <c r="E80" s="1">
        <v>8.0</v>
      </c>
      <c r="F80" s="1" t="s">
        <v>77</v>
      </c>
      <c r="G80" s="1" t="s">
        <v>259</v>
      </c>
      <c r="H80" s="1" t="s">
        <v>260</v>
      </c>
      <c r="I80" s="1" t="s">
        <v>97</v>
      </c>
    </row>
    <row r="81" ht="14.25" customHeight="1">
      <c r="E81" s="1">
        <v>8.0</v>
      </c>
      <c r="F81" s="1" t="s">
        <v>77</v>
      </c>
      <c r="G81" s="1" t="s">
        <v>261</v>
      </c>
      <c r="H81" s="1" t="s">
        <v>262</v>
      </c>
      <c r="I81" s="1" t="s">
        <v>100</v>
      </c>
    </row>
    <row r="82" ht="14.25" customHeight="1">
      <c r="E82" s="1">
        <v>8.0</v>
      </c>
      <c r="F82" s="1" t="s">
        <v>77</v>
      </c>
      <c r="G82" s="1" t="s">
        <v>263</v>
      </c>
      <c r="H82" s="1" t="s">
        <v>262</v>
      </c>
      <c r="I82" s="1" t="s">
        <v>100</v>
      </c>
    </row>
    <row r="83" ht="14.25" customHeight="1">
      <c r="E83" s="1">
        <v>8.0</v>
      </c>
      <c r="F83" s="1" t="s">
        <v>77</v>
      </c>
      <c r="G83" s="1" t="s">
        <v>79</v>
      </c>
      <c r="H83" s="1" t="s">
        <v>264</v>
      </c>
      <c r="I83" s="1" t="s">
        <v>100</v>
      </c>
    </row>
    <row r="84" ht="14.25" customHeight="1">
      <c r="E84" s="1">
        <v>8.0</v>
      </c>
      <c r="F84" s="1" t="s">
        <v>77</v>
      </c>
      <c r="G84" s="1" t="s">
        <v>78</v>
      </c>
      <c r="H84" s="1" t="s">
        <v>265</v>
      </c>
      <c r="I84" s="1" t="s">
        <v>100</v>
      </c>
    </row>
    <row r="85" ht="14.25" customHeight="1">
      <c r="E85" s="1">
        <v>8.0</v>
      </c>
      <c r="F85" s="1" t="s">
        <v>77</v>
      </c>
      <c r="G85" s="1" t="s">
        <v>141</v>
      </c>
      <c r="H85" s="1" t="s">
        <v>141</v>
      </c>
    </row>
    <row r="86" ht="14.25" customHeight="1">
      <c r="E86" s="1">
        <v>9.0</v>
      </c>
      <c r="F86" s="1" t="s">
        <v>80</v>
      </c>
      <c r="G86" s="1" t="s">
        <v>81</v>
      </c>
      <c r="H86" s="1" t="s">
        <v>266</v>
      </c>
      <c r="I86" s="1" t="s">
        <v>100</v>
      </c>
    </row>
    <row r="87" ht="14.25" customHeight="1">
      <c r="E87" s="1">
        <v>9.0</v>
      </c>
      <c r="F87" s="1" t="s">
        <v>80</v>
      </c>
      <c r="G87" s="1" t="s">
        <v>82</v>
      </c>
      <c r="H87" s="1" t="s">
        <v>267</v>
      </c>
      <c r="I87" s="1" t="s">
        <v>100</v>
      </c>
    </row>
    <row r="88" ht="14.25" customHeight="1">
      <c r="E88" s="1">
        <v>9.0</v>
      </c>
      <c r="F88" s="1" t="s">
        <v>80</v>
      </c>
      <c r="G88" s="1" t="s">
        <v>268</v>
      </c>
      <c r="H88" s="1" t="s">
        <v>268</v>
      </c>
      <c r="I88" s="1" t="s">
        <v>100</v>
      </c>
    </row>
    <row r="89" ht="14.25" customHeight="1">
      <c r="E89" s="1">
        <v>9.0</v>
      </c>
      <c r="F89" s="1" t="s">
        <v>80</v>
      </c>
      <c r="G89" s="1" t="s">
        <v>63</v>
      </c>
      <c r="H89" s="1" t="s">
        <v>63</v>
      </c>
      <c r="I89" s="1" t="s">
        <v>100</v>
      </c>
    </row>
    <row r="90" ht="14.25" customHeight="1">
      <c r="E90" s="1">
        <v>9.0</v>
      </c>
      <c r="F90" s="1" t="s">
        <v>80</v>
      </c>
      <c r="G90" s="1" t="s">
        <v>64</v>
      </c>
      <c r="H90" s="1" t="s">
        <v>64</v>
      </c>
      <c r="I90" s="1" t="s">
        <v>100</v>
      </c>
    </row>
    <row r="91" ht="14.25" customHeight="1">
      <c r="E91" s="1">
        <v>9.0</v>
      </c>
      <c r="F91" s="1" t="s">
        <v>80</v>
      </c>
      <c r="G91" s="1" t="s">
        <v>141</v>
      </c>
      <c r="H91" s="1" t="s">
        <v>141</v>
      </c>
      <c r="I91" s="1" t="s">
        <v>100</v>
      </c>
    </row>
    <row r="92" ht="14.25" customHeight="1">
      <c r="E92" s="1">
        <v>10.0</v>
      </c>
      <c r="F92" s="1" t="s">
        <v>83</v>
      </c>
      <c r="G92" s="1" t="s">
        <v>269</v>
      </c>
      <c r="H92" s="1" t="s">
        <v>270</v>
      </c>
      <c r="I92" s="1" t="s">
        <v>97</v>
      </c>
    </row>
    <row r="93" ht="14.25" customHeight="1">
      <c r="E93" s="1">
        <v>10.0</v>
      </c>
      <c r="F93" s="1" t="s">
        <v>83</v>
      </c>
      <c r="G93" s="1" t="s">
        <v>271</v>
      </c>
      <c r="H93" s="1" t="s">
        <v>270</v>
      </c>
      <c r="I93" s="1" t="s">
        <v>100</v>
      </c>
    </row>
    <row r="94" ht="14.25" customHeight="1">
      <c r="E94" s="1">
        <v>10.0</v>
      </c>
      <c r="F94" s="1" t="s">
        <v>83</v>
      </c>
      <c r="G94" s="1" t="s">
        <v>84</v>
      </c>
      <c r="H94" s="1" t="s">
        <v>270</v>
      </c>
      <c r="I94" s="1" t="s">
        <v>100</v>
      </c>
    </row>
    <row r="95" ht="14.25" customHeight="1">
      <c r="E95" s="1">
        <v>10.0</v>
      </c>
      <c r="F95" s="1" t="s">
        <v>83</v>
      </c>
      <c r="G95" s="1" t="s">
        <v>272</v>
      </c>
      <c r="H95" s="1" t="s">
        <v>270</v>
      </c>
      <c r="I95" s="1" t="s">
        <v>100</v>
      </c>
    </row>
    <row r="96" ht="14.25" customHeight="1">
      <c r="E96" s="1">
        <v>10.0</v>
      </c>
      <c r="F96" s="1" t="s">
        <v>83</v>
      </c>
      <c r="G96" s="1" t="s">
        <v>190</v>
      </c>
      <c r="H96" s="1" t="s">
        <v>191</v>
      </c>
      <c r="I96" s="1" t="s">
        <v>100</v>
      </c>
    </row>
    <row r="97" ht="14.25" customHeight="1">
      <c r="E97" s="1">
        <v>10.0</v>
      </c>
      <c r="F97" s="1" t="s">
        <v>83</v>
      </c>
      <c r="G97" s="1" t="s">
        <v>192</v>
      </c>
      <c r="H97" s="1" t="s">
        <v>191</v>
      </c>
      <c r="I97" s="1" t="s">
        <v>100</v>
      </c>
    </row>
    <row r="98" ht="14.25" customHeight="1">
      <c r="E98" s="1">
        <v>10.0</v>
      </c>
      <c r="F98" s="1" t="s">
        <v>83</v>
      </c>
      <c r="G98" s="1" t="s">
        <v>193</v>
      </c>
      <c r="H98" s="1" t="s">
        <v>191</v>
      </c>
      <c r="I98" s="1" t="s">
        <v>100</v>
      </c>
    </row>
    <row r="99" ht="14.25" customHeight="1">
      <c r="E99" s="1">
        <v>10.0</v>
      </c>
      <c r="F99" s="1" t="s">
        <v>83</v>
      </c>
      <c r="G99" s="1" t="s">
        <v>195</v>
      </c>
      <c r="H99" s="1" t="s">
        <v>196</v>
      </c>
      <c r="I99" s="1" t="s">
        <v>100</v>
      </c>
    </row>
    <row r="100" ht="14.25" customHeight="1">
      <c r="E100" s="1">
        <v>10.0</v>
      </c>
      <c r="F100" s="1" t="s">
        <v>83</v>
      </c>
      <c r="G100" s="1" t="s">
        <v>51</v>
      </c>
      <c r="H100" s="1" t="s">
        <v>196</v>
      </c>
      <c r="I100" s="1" t="s">
        <v>100</v>
      </c>
    </row>
    <row r="101" ht="14.25" customHeight="1">
      <c r="E101" s="1">
        <v>10.0</v>
      </c>
      <c r="F101" s="1" t="s">
        <v>83</v>
      </c>
      <c r="G101" s="1" t="s">
        <v>197</v>
      </c>
      <c r="H101" s="1" t="s">
        <v>198</v>
      </c>
      <c r="I101" s="1" t="s">
        <v>100</v>
      </c>
    </row>
    <row r="102" ht="14.25" customHeight="1">
      <c r="E102" s="1">
        <v>10.0</v>
      </c>
      <c r="F102" s="1" t="s">
        <v>83</v>
      </c>
      <c r="G102" s="1" t="s">
        <v>199</v>
      </c>
      <c r="H102" s="1" t="s">
        <v>198</v>
      </c>
      <c r="I102" s="1" t="s">
        <v>100</v>
      </c>
    </row>
    <row r="103" ht="14.25" customHeight="1">
      <c r="E103" s="1">
        <v>10.0</v>
      </c>
      <c r="F103" s="1" t="s">
        <v>83</v>
      </c>
      <c r="G103" s="1" t="s">
        <v>200</v>
      </c>
      <c r="H103" s="1" t="s">
        <v>201</v>
      </c>
      <c r="I103" s="1" t="s">
        <v>100</v>
      </c>
    </row>
    <row r="104" ht="14.25" customHeight="1">
      <c r="E104" s="1">
        <v>10.0</v>
      </c>
      <c r="F104" s="1" t="s">
        <v>83</v>
      </c>
      <c r="G104" s="1" t="s">
        <v>202</v>
      </c>
      <c r="H104" s="1" t="s">
        <v>203</v>
      </c>
      <c r="I104" s="1" t="s">
        <v>100</v>
      </c>
    </row>
    <row r="105" ht="14.25" customHeight="1">
      <c r="E105" s="1">
        <v>10.0</v>
      </c>
      <c r="F105" s="1" t="s">
        <v>83</v>
      </c>
      <c r="G105" s="1" t="s">
        <v>204</v>
      </c>
      <c r="H105" s="1" t="s">
        <v>203</v>
      </c>
      <c r="I105" s="1" t="s">
        <v>100</v>
      </c>
    </row>
    <row r="106" ht="14.25" customHeight="1">
      <c r="E106" s="1">
        <v>10.0</v>
      </c>
      <c r="F106" s="1" t="s">
        <v>83</v>
      </c>
      <c r="G106" s="1" t="s">
        <v>205</v>
      </c>
      <c r="H106" s="1" t="s">
        <v>206</v>
      </c>
      <c r="I106" s="1" t="s">
        <v>100</v>
      </c>
    </row>
    <row r="107" ht="14.25" customHeight="1">
      <c r="E107" s="1">
        <v>10.0</v>
      </c>
      <c r="F107" s="1" t="s">
        <v>83</v>
      </c>
      <c r="G107" s="1" t="s">
        <v>207</v>
      </c>
      <c r="H107" s="1" t="s">
        <v>206</v>
      </c>
      <c r="I107" s="1" t="s">
        <v>100</v>
      </c>
    </row>
    <row r="108" ht="14.25" customHeight="1">
      <c r="E108" s="1">
        <v>10.0</v>
      </c>
      <c r="F108" s="1" t="s">
        <v>83</v>
      </c>
      <c r="G108" s="1" t="s">
        <v>54</v>
      </c>
      <c r="H108" s="1" t="s">
        <v>206</v>
      </c>
      <c r="I108" s="1" t="s">
        <v>100</v>
      </c>
    </row>
    <row r="109" ht="14.25" customHeight="1">
      <c r="E109" s="1">
        <v>10.0</v>
      </c>
      <c r="F109" s="1" t="s">
        <v>83</v>
      </c>
      <c r="G109" s="1" t="s">
        <v>208</v>
      </c>
      <c r="H109" s="1" t="s">
        <v>206</v>
      </c>
      <c r="I109" s="1" t="s">
        <v>100</v>
      </c>
    </row>
    <row r="110" ht="14.25" customHeight="1">
      <c r="E110" s="1">
        <v>10.0</v>
      </c>
      <c r="F110" s="1" t="s">
        <v>83</v>
      </c>
      <c r="G110" s="1" t="s">
        <v>209</v>
      </c>
      <c r="H110" s="1" t="s">
        <v>210</v>
      </c>
      <c r="I110" s="1" t="s">
        <v>100</v>
      </c>
    </row>
    <row r="111" ht="14.25" customHeight="1">
      <c r="E111" s="1">
        <v>10.0</v>
      </c>
      <c r="F111" s="1" t="s">
        <v>83</v>
      </c>
      <c r="G111" s="1" t="s">
        <v>211</v>
      </c>
      <c r="H111" s="1" t="s">
        <v>210</v>
      </c>
      <c r="I111" s="1" t="s">
        <v>100</v>
      </c>
    </row>
    <row r="112" ht="14.25" customHeight="1">
      <c r="E112" s="1">
        <v>10.0</v>
      </c>
      <c r="F112" s="1" t="s">
        <v>83</v>
      </c>
      <c r="G112" s="1" t="s">
        <v>141</v>
      </c>
      <c r="H112" s="1" t="s">
        <v>141</v>
      </c>
      <c r="I112" s="1" t="s">
        <v>100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28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2025-11-27T14:44:52Z</dcterms:created>
  <dc:creator>Rodrigo SD Gutierrez</dc:creator>
</cp:coreProperties>
</file>