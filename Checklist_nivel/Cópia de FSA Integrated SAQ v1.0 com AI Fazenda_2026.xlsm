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G:\Area_Trabalho\Gente_Gestao\PAGR\1-PAGR\1- gestao\3-material_de_apoio\5-certificacoes_externas\3-sai\Agricultura Regenerativa\Piloto\"/>
    </mc:Choice>
  </mc:AlternateContent>
  <xr:revisionPtr revIDLastSave="0" documentId="13_ncr:1_{127D722E-A090-43D3-B5E8-B75A7F624A69}" xr6:coauthVersionLast="47" xr6:coauthVersionMax="47" xr10:uidLastSave="{00000000-0000-0000-0000-000000000000}"/>
  <bookViews>
    <workbookView xWindow="-14505" yWindow="870" windowWidth="14610" windowHeight="15585" tabRatio="839" firstSheet="4" activeTab="4" xr2:uid="{00000000-000D-0000-FFFF-FFFF00000000}"/>
  </bookViews>
  <sheets>
    <sheet name="References" sheetId="14" state="hidden" r:id="rId1"/>
    <sheet name="Home" sheetId="13" r:id="rId2"/>
    <sheet name="General Questions" sheetId="4" r:id="rId3"/>
    <sheet name="Self-Assessment Questionnaire" sheetId="5" r:id="rId4"/>
    <sheet name="Checklist 2026" sheetId="19" r:id="rId5"/>
    <sheet name="RegenAg" sheetId="16" state="hidden" r:id="rId6"/>
    <sheet name="FX" sheetId="15" state="hidden" r:id="rId7"/>
    <sheet name="Performance PAGR" sheetId="20" r:id="rId8"/>
    <sheet name="Performance SAI" sheetId="6" r:id="rId9"/>
    <sheet name="Glossary" sheetId="8" r:id="rId10"/>
    <sheet name="Apoio ao auditor" sheetId="22" r:id="rId11"/>
  </sheets>
  <definedNames>
    <definedName name="_xlnm._FilterDatabase" localSheetId="0" hidden="1">References!$B$15:$D$199</definedName>
    <definedName name="_xlnm._FilterDatabase" localSheetId="3" hidden="1">'Self-Assessment Questionnaire'!$U$15:$Y$229</definedName>
    <definedName name="_xleta.ISERROR" hidden="1" xlm="1">#NAME?</definedName>
    <definedName name="_xleta.NOT" hidden="1" xlm="1">#NAME?</definedName>
    <definedName name="_xleta.OR" hidden="1" xlm="1">#NAME?</definedName>
    <definedName name="_xleta.SHEET" hidden="1" xlm="1">#NAME?</definedName>
    <definedName name="_xlpm.aux" hidden="1" xlm="1">#NAME?</definedName>
    <definedName name="_xlpm.BloqueioCritico" hidden="1" xlm="1">#NAME?</definedName>
    <definedName name="_xlpm.NaoTotal" hidden="1" xlm="1">#NAME?</definedName>
    <definedName name="_xlpm.Nivel" hidden="1" xlm="1">#NAME?</definedName>
    <definedName name="_xlpm.resp" hidden="1" xlm="1">#NAME?</definedName>
    <definedName name="Enhance_on_farm_habitat_provision">References!$E$2</definedName>
    <definedName name="Improve_livestock_waste_management">References!$G$2:$G$3</definedName>
    <definedName name="Increase_cultivated_crop_and_pasture_diversity">References!$F$2</definedName>
    <definedName name="Increase_nutrient_use_efficiency">References!$B$2:$B$4</definedName>
    <definedName name="Increase_soil_health_and_fertility">References!$A$2:$A$6</definedName>
    <definedName name="Increase_water_use_efficiency">References!$D$2</definedName>
    <definedName name="Optimise_crop_protection">References!$C$2:$C$3</definedName>
    <definedName name="Reduce_greenhouse_gas_emissions">References!$H$2:$H$3</definedName>
    <definedName name="Silver">#REF!</definedName>
    <definedName name="YN">#REF!</definedName>
    <definedName name="YN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0" l="1"/>
  <c r="F110" i="5"/>
  <c r="F107" i="19" l="1"/>
  <c r="C97" i="19"/>
  <c r="C98" i="19"/>
  <c r="C99" i="19"/>
  <c r="C100" i="19"/>
  <c r="C101" i="19"/>
  <c r="C102" i="19"/>
  <c r="C103" i="19"/>
  <c r="C104" i="19"/>
  <c r="C105" i="19"/>
  <c r="C96" i="19"/>
  <c r="C86" i="19"/>
  <c r="C87" i="19"/>
  <c r="C88" i="19"/>
  <c r="C89" i="19"/>
  <c r="C90" i="19"/>
  <c r="C91" i="19"/>
  <c r="C92" i="19"/>
  <c r="C93" i="19"/>
  <c r="C94" i="19"/>
  <c r="C85" i="19"/>
  <c r="C82" i="19"/>
  <c r="C83" i="19"/>
  <c r="C81" i="19"/>
  <c r="C73" i="19"/>
  <c r="C74" i="19"/>
  <c r="C75" i="19"/>
  <c r="C76" i="19"/>
  <c r="C77" i="19"/>
  <c r="C78" i="19"/>
  <c r="C79" i="19"/>
  <c r="C72" i="19"/>
  <c r="C60" i="19"/>
  <c r="C61" i="19"/>
  <c r="C62" i="19"/>
  <c r="C63" i="19"/>
  <c r="C64" i="19"/>
  <c r="C65" i="19"/>
  <c r="C66" i="19"/>
  <c r="C67" i="19"/>
  <c r="C68" i="19"/>
  <c r="C69" i="19"/>
  <c r="C70" i="19"/>
  <c r="C59" i="19"/>
  <c r="C49" i="19"/>
  <c r="C50" i="19"/>
  <c r="C51" i="19"/>
  <c r="C52" i="19"/>
  <c r="C53" i="19"/>
  <c r="C54" i="19"/>
  <c r="C55" i="19"/>
  <c r="C56" i="19"/>
  <c r="C57" i="19"/>
  <c r="C48" i="19"/>
  <c r="C39" i="19"/>
  <c r="C40" i="19"/>
  <c r="C41" i="19"/>
  <c r="C42" i="19"/>
  <c r="C43" i="19"/>
  <c r="C44" i="19"/>
  <c r="C45" i="19"/>
  <c r="C46" i="19"/>
  <c r="C38" i="19"/>
  <c r="C20" i="19"/>
  <c r="C21" i="19"/>
  <c r="C22" i="19"/>
  <c r="C23" i="19"/>
  <c r="C24" i="19"/>
  <c r="C25" i="19"/>
  <c r="C26" i="19"/>
  <c r="C27" i="19"/>
  <c r="C28" i="19"/>
  <c r="C29" i="19"/>
  <c r="C30" i="19"/>
  <c r="C31" i="19"/>
  <c r="C32" i="19"/>
  <c r="C33" i="19"/>
  <c r="C34" i="19"/>
  <c r="C35" i="19"/>
  <c r="C36" i="19"/>
  <c r="C19" i="19"/>
  <c r="D96" i="19"/>
  <c r="D88" i="19"/>
  <c r="D87" i="19"/>
  <c r="D74" i="19"/>
  <c r="D73" i="19"/>
  <c r="D53" i="19"/>
  <c r="D52" i="19"/>
  <c r="D45" i="19"/>
  <c r="D42" i="19"/>
  <c r="D38" i="19"/>
  <c r="D36" i="19"/>
  <c r="D26" i="19"/>
  <c r="D25" i="19"/>
  <c r="D24" i="19"/>
  <c r="D23" i="19"/>
  <c r="D22" i="19"/>
  <c r="D20" i="19"/>
  <c r="F16" i="5" l="1"/>
  <c r="F35" i="5" l="1"/>
  <c r="F36" i="5"/>
  <c r="F133" i="5" l="1"/>
  <c r="F136" i="5"/>
  <c r="F132" i="5"/>
  <c r="F88" i="5"/>
  <c r="F87" i="5"/>
  <c r="F86" i="5"/>
  <c r="F85" i="5"/>
  <c r="F185" i="5"/>
  <c r="F25" i="5"/>
  <c r="F37" i="5"/>
  <c r="F124" i="5"/>
  <c r="F115" i="5"/>
  <c r="F112" i="5"/>
  <c r="F38" i="5"/>
  <c r="F208" i="5"/>
  <c r="F198" i="5"/>
  <c r="F125" i="5"/>
  <c r="F103" i="5"/>
  <c r="F216" i="5"/>
  <c r="F224" i="5" l="1"/>
  <c r="F225" i="5" s="1"/>
  <c r="F215" i="5"/>
  <c r="G132" i="5"/>
  <c r="F228" i="5"/>
  <c r="F222" i="5"/>
  <c r="F221" i="5"/>
  <c r="F220" i="5"/>
  <c r="F219" i="5"/>
  <c r="F218" i="5"/>
  <c r="F217" i="5"/>
  <c r="F214" i="5"/>
  <c r="F212" i="5"/>
  <c r="F211" i="5"/>
  <c r="F210" i="5"/>
  <c r="F209" i="5"/>
  <c r="F207" i="5"/>
  <c r="F206" i="5"/>
  <c r="F199" i="5"/>
  <c r="F197" i="5"/>
  <c r="F196" i="5"/>
  <c r="F195" i="5"/>
  <c r="F194" i="5"/>
  <c r="F193" i="5"/>
  <c r="F192" i="5"/>
  <c r="F191" i="5"/>
  <c r="F190" i="5"/>
  <c r="F189" i="5"/>
  <c r="F188" i="5"/>
  <c r="F187" i="5"/>
  <c r="F186" i="5"/>
  <c r="F184" i="5"/>
  <c r="F183" i="5"/>
  <c r="F182" i="5"/>
  <c r="F181" i="5"/>
  <c r="F180" i="5"/>
  <c r="F179" i="5"/>
  <c r="F177" i="5"/>
  <c r="F176" i="5"/>
  <c r="F174" i="5"/>
  <c r="F173" i="5"/>
  <c r="F172" i="5"/>
  <c r="F171" i="5"/>
  <c r="F169" i="5"/>
  <c r="F167" i="5"/>
  <c r="F166" i="5"/>
  <c r="F165" i="5"/>
  <c r="F164" i="5"/>
  <c r="F163" i="5"/>
  <c r="F162" i="5"/>
  <c r="F161" i="5"/>
  <c r="F159" i="5"/>
  <c r="G157" i="5"/>
  <c r="F156" i="5"/>
  <c r="F154" i="5"/>
  <c r="F152" i="5"/>
  <c r="F151" i="5"/>
  <c r="F150" i="5"/>
  <c r="F149" i="5"/>
  <c r="F148" i="5"/>
  <c r="F146" i="5"/>
  <c r="F144" i="5"/>
  <c r="F143" i="5"/>
  <c r="F141" i="5"/>
  <c r="F140" i="5"/>
  <c r="F139" i="5"/>
  <c r="F138" i="5"/>
  <c r="F135" i="5"/>
  <c r="F134" i="5"/>
  <c r="F130" i="5"/>
  <c r="F122" i="5"/>
  <c r="F121" i="5"/>
  <c r="F120" i="5"/>
  <c r="F119" i="5"/>
  <c r="F118" i="5"/>
  <c r="F114" i="5"/>
  <c r="F113" i="5"/>
  <c r="F109" i="5"/>
  <c r="F108" i="5"/>
  <c r="F107" i="5"/>
  <c r="F106" i="5"/>
  <c r="F105" i="5"/>
  <c r="F102" i="5"/>
  <c r="F101" i="5"/>
  <c r="F100" i="5"/>
  <c r="F99" i="5"/>
  <c r="F97" i="5"/>
  <c r="F93" i="5"/>
  <c r="F92" i="5"/>
  <c r="F91" i="5"/>
  <c r="F89" i="5"/>
  <c r="F83" i="5"/>
  <c r="G83" i="5" s="1"/>
  <c r="F82" i="5"/>
  <c r="F81" i="5"/>
  <c r="F80" i="5"/>
  <c r="F79" i="5"/>
  <c r="F76" i="5"/>
  <c r="F75" i="5"/>
  <c r="F74" i="5"/>
  <c r="F71" i="5"/>
  <c r="F70" i="5"/>
  <c r="F69" i="5"/>
  <c r="F66" i="5"/>
  <c r="F65" i="5"/>
  <c r="F64" i="5"/>
  <c r="F62" i="5"/>
  <c r="F58" i="5"/>
  <c r="F57" i="5"/>
  <c r="F45" i="5"/>
  <c r="F55" i="5"/>
  <c r="F54" i="5"/>
  <c r="F53" i="5"/>
  <c r="F51" i="5"/>
  <c r="G224" i="5" l="1"/>
  <c r="F50" i="5"/>
  <c r="F46" i="5"/>
  <c r="F44" i="5"/>
  <c r="F43" i="5"/>
  <c r="F42" i="5"/>
  <c r="F41" i="5"/>
  <c r="F40" i="5"/>
  <c r="F39" i="5"/>
  <c r="F34" i="5"/>
  <c r="F33" i="5"/>
  <c r="F32" i="5"/>
  <c r="F31" i="5"/>
  <c r="F29" i="5"/>
  <c r="F28" i="5"/>
  <c r="F26" i="5"/>
  <c r="F24" i="5"/>
  <c r="F23" i="5"/>
  <c r="F22" i="5"/>
  <c r="F20" i="5"/>
  <c r="F19" i="5"/>
  <c r="F18" i="5"/>
  <c r="F17" i="5"/>
  <c r="F129" i="5"/>
  <c r="F175" i="5" l="1"/>
  <c r="F126" i="5"/>
  <c r="F68" i="5"/>
  <c r="F63" i="5"/>
  <c r="F61" i="5"/>
  <c r="F73" i="5"/>
  <c r="D11" i="4" l="1"/>
  <c r="C11" i="4"/>
  <c r="B11" i="4"/>
  <c r="G228" i="5"/>
  <c r="G227" i="5"/>
  <c r="G225" i="5"/>
  <c r="G222" i="5"/>
  <c r="G221" i="5"/>
  <c r="G220" i="5"/>
  <c r="G219" i="5"/>
  <c r="G218" i="5"/>
  <c r="G217" i="5"/>
  <c r="G216" i="5"/>
  <c r="G215" i="5"/>
  <c r="G214" i="5"/>
  <c r="G212" i="5"/>
  <c r="G211" i="5"/>
  <c r="G210" i="5"/>
  <c r="G209" i="5"/>
  <c r="G208" i="5"/>
  <c r="G207" i="5"/>
  <c r="G206" i="5"/>
  <c r="G201" i="5"/>
  <c r="G199" i="5"/>
  <c r="G198" i="5"/>
  <c r="G197" i="5"/>
  <c r="G196" i="5"/>
  <c r="G195" i="5"/>
  <c r="G194" i="5"/>
  <c r="G193" i="5"/>
  <c r="G192" i="5"/>
  <c r="G191" i="5"/>
  <c r="G190" i="5"/>
  <c r="G189" i="5"/>
  <c r="G188" i="5"/>
  <c r="G187" i="5"/>
  <c r="G186" i="5"/>
  <c r="G185" i="5"/>
  <c r="G180" i="5" l="1"/>
  <c r="G179" i="5"/>
  <c r="G177" i="5"/>
  <c r="G176" i="5"/>
  <c r="G175" i="5"/>
  <c r="G173" i="5"/>
  <c r="G172" i="5"/>
  <c r="G171" i="5"/>
  <c r="G169" i="5"/>
  <c r="G167" i="5"/>
  <c r="G184" i="5"/>
  <c r="G183" i="5"/>
  <c r="G182" i="5"/>
  <c r="G181" i="5"/>
  <c r="G174" i="5"/>
  <c r="G166" i="5"/>
  <c r="G158" i="5"/>
  <c r="G154" i="5" l="1"/>
  <c r="F153" i="5"/>
  <c r="G151" i="5"/>
  <c r="G150" i="5"/>
  <c r="G149" i="5"/>
  <c r="G148" i="5"/>
  <c r="G146" i="5"/>
  <c r="G144" i="5"/>
  <c r="G143" i="5"/>
  <c r="G130" i="5"/>
  <c r="G129" i="5"/>
  <c r="G126" i="5"/>
  <c r="G125" i="5"/>
  <c r="G124" i="5"/>
  <c r="G122" i="5"/>
  <c r="G121" i="5"/>
  <c r="G120" i="5"/>
  <c r="G119" i="5"/>
  <c r="G118" i="5"/>
  <c r="G115" i="5"/>
  <c r="G114" i="5"/>
  <c r="G113" i="5"/>
  <c r="G112" i="5"/>
  <c r="G110" i="5"/>
  <c r="G109" i="5"/>
  <c r="G108" i="5"/>
  <c r="G107" i="5"/>
  <c r="G106" i="5"/>
  <c r="G105" i="5"/>
  <c r="G103" i="5"/>
  <c r="G102" i="5"/>
  <c r="G101" i="5"/>
  <c r="G100" i="5"/>
  <c r="G99" i="5"/>
  <c r="G97" i="5"/>
  <c r="G93" i="5"/>
  <c r="G92" i="5"/>
  <c r="G91" i="5"/>
  <c r="G87" i="5"/>
  <c r="G86" i="5"/>
  <c r="G85" i="5"/>
  <c r="G81" i="5"/>
  <c r="G82" i="5"/>
  <c r="B37" i="4"/>
  <c r="F33" i="4"/>
  <c r="F17" i="4"/>
  <c r="B17" i="4"/>
  <c r="G80" i="5"/>
  <c r="G79" i="5"/>
  <c r="G88" i="5"/>
  <c r="G76" i="5"/>
  <c r="G75" i="5"/>
  <c r="G74" i="5"/>
  <c r="G73" i="5"/>
  <c r="G72" i="5"/>
  <c r="G71" i="5"/>
  <c r="G70" i="5"/>
  <c r="G69" i="5"/>
  <c r="G68" i="5"/>
  <c r="G66" i="5"/>
  <c r="G152" i="5" l="1"/>
  <c r="G153" i="5"/>
  <c r="G155" i="5"/>
  <c r="F155" i="5"/>
  <c r="G65" i="5"/>
  <c r="G64" i="5"/>
  <c r="G63" i="5" l="1"/>
  <c r="G62" i="5"/>
  <c r="G61" i="5"/>
  <c r="G58" i="5"/>
  <c r="G57" i="5"/>
  <c r="G56" i="5"/>
  <c r="G55" i="5"/>
  <c r="G54" i="5"/>
  <c r="G53" i="5"/>
  <c r="G46" i="5"/>
  <c r="G45" i="5"/>
  <c r="G44" i="5"/>
  <c r="G43" i="5"/>
  <c r="G42" i="5"/>
  <c r="G51" i="5"/>
  <c r="G50" i="5"/>
  <c r="G41" i="5"/>
  <c r="G40" i="5"/>
  <c r="G39" i="5"/>
  <c r="G38" i="5"/>
  <c r="G37" i="5"/>
  <c r="G36" i="5"/>
  <c r="G35" i="5"/>
  <c r="G34" i="5"/>
  <c r="G33" i="5"/>
  <c r="G31" i="5"/>
  <c r="G29" i="5"/>
  <c r="G28" i="5"/>
  <c r="G26" i="5"/>
  <c r="G25" i="5"/>
  <c r="G24" i="5"/>
  <c r="G23" i="5"/>
  <c r="G22" i="5"/>
  <c r="G20" i="5"/>
  <c r="G19" i="5"/>
  <c r="G18" i="5"/>
  <c r="G17" i="5"/>
  <c r="G16" i="5"/>
  <c r="G32" i="5"/>
  <c r="G89" i="5"/>
  <c r="G133" i="5"/>
  <c r="G134" i="5"/>
  <c r="G135" i="5"/>
  <c r="G136" i="5"/>
  <c r="G138" i="5"/>
  <c r="G139" i="5"/>
  <c r="G140" i="5"/>
  <c r="G141" i="5"/>
  <c r="G156" i="5"/>
  <c r="G159" i="5"/>
  <c r="G161" i="5"/>
  <c r="G162" i="5"/>
  <c r="G163" i="5"/>
  <c r="G164" i="5"/>
  <c r="G165" i="5"/>
  <c r="F202" i="5"/>
  <c r="F203" i="5"/>
  <c r="F204" i="5"/>
  <c r="G229" i="5"/>
  <c r="I18" i="6" l="1"/>
  <c r="K40" i="16" l="1"/>
  <c r="K41" i="16"/>
  <c r="L229" i="5"/>
  <c r="L228" i="5"/>
  <c r="L227" i="5"/>
  <c r="L225" i="5"/>
  <c r="L224" i="5"/>
  <c r="L222" i="5"/>
  <c r="L221" i="5"/>
  <c r="L220" i="5"/>
  <c r="L219" i="5"/>
  <c r="L218" i="5"/>
  <c r="L217" i="5"/>
  <c r="L216" i="5"/>
  <c r="L215" i="5"/>
  <c r="L214" i="5"/>
  <c r="L213" i="5"/>
  <c r="L212" i="5"/>
  <c r="L211" i="5"/>
  <c r="L210" i="5"/>
  <c r="L209" i="5"/>
  <c r="L208" i="5"/>
  <c r="L207" i="5"/>
  <c r="L206" i="5"/>
  <c r="L205" i="5"/>
  <c r="L204" i="5"/>
  <c r="L203" i="5"/>
  <c r="L202" i="5"/>
  <c r="L201" i="5"/>
  <c r="L200" i="5"/>
  <c r="L199" i="5"/>
  <c r="L198" i="5"/>
  <c r="L197" i="5"/>
  <c r="L196" i="5"/>
  <c r="L195" i="5"/>
  <c r="L194" i="5"/>
  <c r="L193" i="5"/>
  <c r="L192" i="5"/>
  <c r="L191" i="5"/>
  <c r="L190" i="5"/>
  <c r="L189" i="5"/>
  <c r="L188" i="5"/>
  <c r="L187" i="5"/>
  <c r="L186" i="5"/>
  <c r="L185" i="5"/>
  <c r="L184" i="5"/>
  <c r="L183" i="5"/>
  <c r="L182" i="5"/>
  <c r="L181" i="5"/>
  <c r="L180" i="5"/>
  <c r="L179" i="5"/>
  <c r="L177" i="5"/>
  <c r="L176" i="5"/>
  <c r="L175" i="5"/>
  <c r="L174" i="5"/>
  <c r="L173" i="5"/>
  <c r="L172" i="5"/>
  <c r="L171" i="5"/>
  <c r="L170" i="5"/>
  <c r="L169" i="5"/>
  <c r="L167" i="5"/>
  <c r="L166" i="5"/>
  <c r="L165" i="5"/>
  <c r="L164" i="5"/>
  <c r="L163" i="5"/>
  <c r="L162" i="5"/>
  <c r="L161" i="5"/>
  <c r="L160" i="5"/>
  <c r="L159" i="5"/>
  <c r="L158" i="5"/>
  <c r="L157" i="5"/>
  <c r="L156" i="5"/>
  <c r="L155" i="5"/>
  <c r="L154" i="5"/>
  <c r="L153" i="5"/>
  <c r="L152" i="5"/>
  <c r="L151" i="5"/>
  <c r="L150" i="5"/>
  <c r="L149" i="5"/>
  <c r="L148" i="5"/>
  <c r="L146" i="5"/>
  <c r="L145" i="5"/>
  <c r="L144" i="5"/>
  <c r="L143" i="5"/>
  <c r="L142" i="5"/>
  <c r="L141" i="5"/>
  <c r="L140" i="5"/>
  <c r="L139" i="5"/>
  <c r="L138" i="5"/>
  <c r="L137" i="5"/>
  <c r="L136" i="5"/>
  <c r="L135" i="5"/>
  <c r="L134" i="5"/>
  <c r="L133" i="5"/>
  <c r="L132" i="5"/>
  <c r="L131" i="5"/>
  <c r="L130" i="5"/>
  <c r="L129" i="5"/>
  <c r="L128" i="5"/>
  <c r="L126" i="5"/>
  <c r="L125" i="5"/>
  <c r="L124" i="5"/>
  <c r="L122" i="5"/>
  <c r="L121" i="5"/>
  <c r="L120" i="5"/>
  <c r="L119" i="5"/>
  <c r="L118" i="5"/>
  <c r="L117" i="5"/>
  <c r="L115" i="5"/>
  <c r="L114" i="5"/>
  <c r="L113" i="5"/>
  <c r="L112" i="5"/>
  <c r="L111" i="5"/>
  <c r="L110" i="5"/>
  <c r="L109" i="5"/>
  <c r="L108" i="5"/>
  <c r="L107" i="5"/>
  <c r="L106" i="5"/>
  <c r="L105" i="5"/>
  <c r="L104" i="5"/>
  <c r="L103" i="5"/>
  <c r="L102" i="5"/>
  <c r="L101" i="5"/>
  <c r="L100" i="5"/>
  <c r="L99" i="5"/>
  <c r="L98" i="5"/>
  <c r="L97" i="5"/>
  <c r="L96" i="5"/>
  <c r="L95" i="5"/>
  <c r="L93" i="5"/>
  <c r="L92" i="5"/>
  <c r="L91" i="5"/>
  <c r="L90" i="5"/>
  <c r="L89" i="5"/>
  <c r="L88" i="5"/>
  <c r="L87" i="5"/>
  <c r="L86" i="5"/>
  <c r="L85" i="5"/>
  <c r="L84" i="5"/>
  <c r="L83" i="5"/>
  <c r="L82" i="5"/>
  <c r="L81" i="5"/>
  <c r="L80" i="5"/>
  <c r="L79" i="5"/>
  <c r="L78" i="5"/>
  <c r="L76" i="5"/>
  <c r="L75" i="5"/>
  <c r="L74" i="5"/>
  <c r="L73" i="5"/>
  <c r="L72" i="5"/>
  <c r="L71" i="5"/>
  <c r="L70" i="5"/>
  <c r="L69" i="5"/>
  <c r="L68" i="5"/>
  <c r="L67" i="5"/>
  <c r="L66" i="5"/>
  <c r="L65" i="5"/>
  <c r="L64" i="5"/>
  <c r="L63" i="5"/>
  <c r="L62" i="5"/>
  <c r="L61" i="5"/>
  <c r="L60" i="5"/>
  <c r="L58" i="5"/>
  <c r="L57" i="5"/>
  <c r="L56" i="5"/>
  <c r="L55" i="5"/>
  <c r="L54" i="5"/>
  <c r="L53" i="5"/>
  <c r="L52" i="5"/>
  <c r="L51" i="5"/>
  <c r="L50" i="5"/>
  <c r="L49" i="5"/>
  <c r="L48" i="5"/>
  <c r="L46" i="5"/>
  <c r="L45" i="5"/>
  <c r="L44" i="5"/>
  <c r="L43" i="5"/>
  <c r="L42" i="5"/>
  <c r="L41" i="5"/>
  <c r="L40" i="5"/>
  <c r="L39" i="5"/>
  <c r="L38" i="5"/>
  <c r="L37" i="5"/>
  <c r="L36" i="5"/>
  <c r="L35" i="5"/>
  <c r="L34" i="5"/>
  <c r="L33" i="5"/>
  <c r="L32" i="5"/>
  <c r="L31" i="5"/>
  <c r="L30" i="5"/>
  <c r="L29" i="5"/>
  <c r="L28" i="5"/>
  <c r="L27" i="5"/>
  <c r="L26" i="5"/>
  <c r="L25" i="5"/>
  <c r="L24" i="5"/>
  <c r="L23" i="5"/>
  <c r="L22" i="5"/>
  <c r="L21" i="5"/>
  <c r="L20" i="5"/>
  <c r="L19" i="5"/>
  <c r="L18" i="5"/>
  <c r="L17" i="5"/>
  <c r="L16" i="5"/>
  <c r="F15" i="14"/>
  <c r="P34" i="16"/>
  <c r="P33" i="16"/>
  <c r="P32" i="16"/>
  <c r="P31" i="16"/>
  <c r="P30" i="16"/>
  <c r="P29" i="16"/>
  <c r="P28" i="16"/>
  <c r="P27" i="16"/>
  <c r="O34" i="16"/>
  <c r="O33" i="16"/>
  <c r="O32" i="16"/>
  <c r="O31" i="16"/>
  <c r="O30" i="16"/>
  <c r="O29" i="16"/>
  <c r="O28" i="16"/>
  <c r="O27" i="16"/>
  <c r="Y154" i="5"/>
  <c r="K154" i="5" s="1"/>
  <c r="Y152" i="5"/>
  <c r="K152" i="5" s="1"/>
  <c r="L26" i="16"/>
  <c r="U229" i="5"/>
  <c r="U228" i="5"/>
  <c r="U227" i="5"/>
  <c r="U226" i="5"/>
  <c r="U225"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5" i="5"/>
  <c r="U164" i="5"/>
  <c r="U163" i="5"/>
  <c r="U162" i="5"/>
  <c r="U161" i="5"/>
  <c r="U160" i="5"/>
  <c r="U159" i="5"/>
  <c r="U158" i="5"/>
  <c r="U151" i="5"/>
  <c r="U149" i="5"/>
  <c r="U148" i="5"/>
  <c r="U147" i="5"/>
  <c r="U146" i="5"/>
  <c r="U145" i="5"/>
  <c r="U144" i="5"/>
  <c r="U143" i="5"/>
  <c r="U142" i="5"/>
  <c r="U137" i="5"/>
  <c r="U136" i="5"/>
  <c r="U135" i="5"/>
  <c r="U134" i="5"/>
  <c r="U133" i="5"/>
  <c r="U132" i="5"/>
  <c r="U131" i="5"/>
  <c r="U130" i="5"/>
  <c r="U129" i="5"/>
  <c r="U128" i="5"/>
  <c r="U127" i="5"/>
  <c r="U126" i="5"/>
  <c r="U125" i="5"/>
  <c r="U124" i="5"/>
  <c r="U123" i="5"/>
  <c r="U122"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4" i="5"/>
  <c r="U83" i="5"/>
  <c r="U82" i="5"/>
  <c r="U79" i="5"/>
  <c r="U78" i="5"/>
  <c r="U77" i="5"/>
  <c r="U76" i="5"/>
  <c r="U74" i="5"/>
  <c r="U73" i="5"/>
  <c r="U72" i="5"/>
  <c r="U70" i="5"/>
  <c r="U69" i="5"/>
  <c r="U67" i="5"/>
  <c r="U66" i="5"/>
  <c r="U65" i="5"/>
  <c r="U64" i="5"/>
  <c r="U62"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3" i="5"/>
  <c r="U22" i="5"/>
  <c r="U21" i="5"/>
  <c r="U20" i="5"/>
  <c r="U19" i="5"/>
  <c r="U18" i="5"/>
  <c r="U17" i="5"/>
  <c r="U16" i="5"/>
  <c r="AG4" i="15"/>
  <c r="AG5" i="15"/>
  <c r="K45" i="16" l="1"/>
  <c r="K46" i="16"/>
  <c r="K44" i="16"/>
  <c r="K32" i="16"/>
  <c r="K33" i="16"/>
  <c r="K35" i="16"/>
  <c r="K36" i="16"/>
  <c r="K37" i="16"/>
  <c r="K38" i="16"/>
  <c r="K39" i="16"/>
  <c r="K42" i="16"/>
  <c r="K43" i="16"/>
  <c r="N28" i="16"/>
  <c r="N29" i="16"/>
  <c r="N30" i="16"/>
  <c r="N31" i="16"/>
  <c r="N32" i="16"/>
  <c r="N33" i="16"/>
  <c r="N34" i="16"/>
  <c r="N27" i="16"/>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5" i="5"/>
  <c r="Y156" i="5"/>
  <c r="Y153" i="5"/>
  <c r="Y157" i="5"/>
  <c r="Y158" i="5"/>
  <c r="Y159" i="5"/>
  <c r="Y160" i="5"/>
  <c r="Y161" i="5"/>
  <c r="Y162" i="5"/>
  <c r="Y163" i="5"/>
  <c r="Y164" i="5"/>
  <c r="Y165" i="5"/>
  <c r="Y166" i="5"/>
  <c r="Y167" i="5"/>
  <c r="Y168" i="5"/>
  <c r="Y169" i="5"/>
  <c r="Y170" i="5"/>
  <c r="Y171" i="5"/>
  <c r="Y172" i="5"/>
  <c r="Y173" i="5"/>
  <c r="Y174" i="5"/>
  <c r="Y175" i="5"/>
  <c r="Y176" i="5"/>
  <c r="Y177" i="5"/>
  <c r="Y178" i="5"/>
  <c r="Y179" i="5"/>
  <c r="Y180" i="5"/>
  <c r="Y181" i="5"/>
  <c r="Y182" i="5"/>
  <c r="Y183" i="5"/>
  <c r="Y184" i="5"/>
  <c r="Y185" i="5"/>
  <c r="Y186" i="5"/>
  <c r="Y187" i="5"/>
  <c r="Y188" i="5"/>
  <c r="Y189" i="5"/>
  <c r="Y190" i="5"/>
  <c r="Y191" i="5"/>
  <c r="Y192" i="5"/>
  <c r="Y193" i="5"/>
  <c r="Y194" i="5"/>
  <c r="Y195" i="5"/>
  <c r="Y196" i="5"/>
  <c r="Y197" i="5"/>
  <c r="Y198" i="5"/>
  <c r="Y199" i="5"/>
  <c r="Y200" i="5"/>
  <c r="Y201" i="5"/>
  <c r="Y202" i="5"/>
  <c r="Y203" i="5"/>
  <c r="Y204" i="5"/>
  <c r="Y205" i="5"/>
  <c r="Y206" i="5"/>
  <c r="Y207" i="5"/>
  <c r="Y208" i="5"/>
  <c r="Y209" i="5"/>
  <c r="Y210" i="5"/>
  <c r="Y211" i="5"/>
  <c r="Y212" i="5"/>
  <c r="Y213" i="5"/>
  <c r="Y214" i="5"/>
  <c r="Y215" i="5"/>
  <c r="Y216" i="5"/>
  <c r="Y217" i="5"/>
  <c r="Y218" i="5"/>
  <c r="Y219" i="5"/>
  <c r="Y220" i="5"/>
  <c r="Y221" i="5"/>
  <c r="Y222" i="5"/>
  <c r="Y223" i="5"/>
  <c r="Y224" i="5"/>
  <c r="Y225" i="5"/>
  <c r="Y226" i="5"/>
  <c r="Y227" i="5"/>
  <c r="Y228" i="5"/>
  <c r="Y229" i="5"/>
  <c r="Y16" i="5"/>
  <c r="C25" i="16" l="1"/>
  <c r="C24" i="16" s="1"/>
  <c r="E25" i="16"/>
  <c r="E24" i="16" s="1"/>
  <c r="J25" i="16"/>
  <c r="J24" i="16" s="1"/>
  <c r="I25" i="16"/>
  <c r="I24" i="16" s="1"/>
  <c r="H25" i="16"/>
  <c r="H24" i="16" s="1"/>
  <c r="D25" i="16"/>
  <c r="D24" i="16" s="1"/>
  <c r="G25" i="16"/>
  <c r="G24" i="16" s="1"/>
  <c r="F25" i="16"/>
  <c r="F24" i="16" s="1"/>
  <c r="K15" i="5"/>
  <c r="O42" i="16" l="1"/>
  <c r="L43" i="16"/>
  <c r="L42" i="16"/>
  <c r="L41" i="16"/>
  <c r="L40" i="16"/>
  <c r="M34" i="16"/>
  <c r="C54" i="16" s="1"/>
  <c r="M42" i="16"/>
  <c r="C62" i="16" s="1"/>
  <c r="M35" i="16"/>
  <c r="C55" i="16" s="1"/>
  <c r="M43" i="16"/>
  <c r="M48" i="16"/>
  <c r="M41" i="16"/>
  <c r="C61" i="16" s="1"/>
  <c r="M36" i="16"/>
  <c r="C56" i="16" s="1"/>
  <c r="M44" i="16"/>
  <c r="M37" i="16"/>
  <c r="C57" i="16" s="1"/>
  <c r="M45" i="16"/>
  <c r="C69" i="16" s="1"/>
  <c r="M47" i="16"/>
  <c r="M32" i="16"/>
  <c r="C52" i="16" s="1"/>
  <c r="M38" i="16"/>
  <c r="C58" i="16" s="1"/>
  <c r="M46" i="16"/>
  <c r="C73" i="16" s="1"/>
  <c r="M39" i="16"/>
  <c r="C59" i="16" s="1"/>
  <c r="M40" i="16"/>
  <c r="C60" i="16" s="1"/>
  <c r="M33" i="16"/>
  <c r="C53" i="16" s="1"/>
  <c r="L32" i="16"/>
  <c r="L37" i="16"/>
  <c r="L45" i="16"/>
  <c r="L47" i="16"/>
  <c r="L48" i="16"/>
  <c r="L35" i="16"/>
  <c r="L33" i="16"/>
  <c r="L46" i="16"/>
  <c r="L38" i="16"/>
  <c r="L36" i="16"/>
  <c r="L44" i="16"/>
  <c r="L39" i="16"/>
  <c r="O41" i="16"/>
  <c r="K30" i="16"/>
  <c r="K29" i="16"/>
  <c r="K28" i="16"/>
  <c r="K27" i="16"/>
  <c r="L15" i="5"/>
  <c r="U152" i="5" l="1"/>
  <c r="U153" i="5"/>
  <c r="U154" i="5"/>
  <c r="U155" i="5"/>
  <c r="U224" i="5"/>
  <c r="U150" i="5"/>
  <c r="U157" i="5"/>
  <c r="U61" i="5"/>
  <c r="U138" i="5"/>
  <c r="U71" i="5"/>
  <c r="U68" i="5"/>
  <c r="U63" i="5"/>
  <c r="U118" i="5"/>
  <c r="C66" i="16"/>
  <c r="U86" i="5" s="1"/>
  <c r="C65" i="16"/>
  <c r="U85" i="5" s="1"/>
  <c r="C64" i="16"/>
  <c r="U81" i="5" s="1"/>
  <c r="C63" i="16"/>
  <c r="U80" i="5" s="1"/>
  <c r="U156" i="5"/>
  <c r="U75" i="5"/>
  <c r="C74" i="16"/>
  <c r="U139" i="5" s="1"/>
  <c r="C70" i="16"/>
  <c r="U119" i="5" s="1"/>
  <c r="O40" i="16"/>
  <c r="O39" i="16"/>
  <c r="K229" i="5"/>
  <c r="K228" i="5"/>
  <c r="K227" i="5"/>
  <c r="K226" i="5"/>
  <c r="K225" i="5"/>
  <c r="K224" i="5"/>
  <c r="K223" i="5"/>
  <c r="K222" i="5"/>
  <c r="K221" i="5"/>
  <c r="K220" i="5"/>
  <c r="K219" i="5"/>
  <c r="K218" i="5"/>
  <c r="K217" i="5"/>
  <c r="K216" i="5"/>
  <c r="K215" i="5"/>
  <c r="K214" i="5"/>
  <c r="K213" i="5"/>
  <c r="K212" i="5"/>
  <c r="K211" i="5"/>
  <c r="K210" i="5"/>
  <c r="K209" i="5"/>
  <c r="K208" i="5"/>
  <c r="K207" i="5"/>
  <c r="K206" i="5"/>
  <c r="K205" i="5"/>
  <c r="K204" i="5"/>
  <c r="K203" i="5"/>
  <c r="K202" i="5"/>
  <c r="K201" i="5"/>
  <c r="K200" i="5"/>
  <c r="K199" i="5"/>
  <c r="K198" i="5"/>
  <c r="K197" i="5"/>
  <c r="K196" i="5"/>
  <c r="K195" i="5"/>
  <c r="K194" i="5"/>
  <c r="K193" i="5"/>
  <c r="K192" i="5"/>
  <c r="K191" i="5"/>
  <c r="K190" i="5"/>
  <c r="K189" i="5"/>
  <c r="K188" i="5"/>
  <c r="K187" i="5"/>
  <c r="K186" i="5"/>
  <c r="K185" i="5"/>
  <c r="K184" i="5"/>
  <c r="K183" i="5"/>
  <c r="K182" i="5"/>
  <c r="K181" i="5"/>
  <c r="K180" i="5"/>
  <c r="K179" i="5"/>
  <c r="K178" i="5"/>
  <c r="K177" i="5"/>
  <c r="K176" i="5"/>
  <c r="K175" i="5"/>
  <c r="K174" i="5"/>
  <c r="K173" i="5"/>
  <c r="K172" i="5"/>
  <c r="K171" i="5"/>
  <c r="K170" i="5"/>
  <c r="K169" i="5"/>
  <c r="K168" i="5"/>
  <c r="K167" i="5"/>
  <c r="K166" i="5"/>
  <c r="K165" i="5"/>
  <c r="K164" i="5"/>
  <c r="K163" i="5"/>
  <c r="K162" i="5"/>
  <c r="K161" i="5"/>
  <c r="K160" i="5"/>
  <c r="K159" i="5"/>
  <c r="K158" i="5"/>
  <c r="K157" i="5"/>
  <c r="K153" i="5"/>
  <c r="K156" i="5"/>
  <c r="K155"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K123" i="5"/>
  <c r="K122" i="5"/>
  <c r="K121" i="5"/>
  <c r="K120" i="5"/>
  <c r="K119" i="5"/>
  <c r="K118" i="5"/>
  <c r="K117" i="5"/>
  <c r="K116" i="5"/>
  <c r="K115" i="5"/>
  <c r="K114" i="5"/>
  <c r="K113" i="5"/>
  <c r="K112" i="5"/>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6" i="5"/>
  <c r="K65" i="5"/>
  <c r="K64"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5" i="5"/>
  <c r="K24" i="5"/>
  <c r="K23" i="5"/>
  <c r="K22" i="5"/>
  <c r="K21" i="5"/>
  <c r="K20" i="5"/>
  <c r="K19" i="5"/>
  <c r="K18" i="5"/>
  <c r="K17" i="5"/>
  <c r="K16" i="5"/>
  <c r="N44" i="16" l="1"/>
  <c r="I20" i="6" s="1"/>
  <c r="C71" i="16"/>
  <c r="U120" i="5" s="1"/>
  <c r="C67" i="16"/>
  <c r="U87" i="5" s="1"/>
  <c r="C75" i="16"/>
  <c r="U140" i="5" s="1"/>
  <c r="F56" i="4"/>
  <c r="F57" i="4"/>
  <c r="F58" i="4"/>
  <c r="F59" i="4"/>
  <c r="F60" i="4"/>
  <c r="F61" i="4"/>
  <c r="F62" i="4"/>
  <c r="F63" i="4"/>
  <c r="F64" i="4"/>
  <c r="F55" i="4"/>
  <c r="H79" i="5"/>
  <c r="H204" i="5"/>
  <c r="H203" i="5"/>
  <c r="H202" i="5"/>
  <c r="H212" i="5"/>
  <c r="H211" i="5"/>
  <c r="H210" i="5"/>
  <c r="H209" i="5"/>
  <c r="H208" i="5"/>
  <c r="H207" i="5"/>
  <c r="H206" i="5"/>
  <c r="H201" i="5"/>
  <c r="H199" i="5"/>
  <c r="H193" i="5"/>
  <c r="H192" i="5"/>
  <c r="H191" i="5"/>
  <c r="H198" i="5"/>
  <c r="H197" i="5"/>
  <c r="H196" i="5"/>
  <c r="H190" i="5"/>
  <c r="H189" i="5"/>
  <c r="H187" i="5"/>
  <c r="H186" i="5"/>
  <c r="H185" i="5"/>
  <c r="H183" i="5"/>
  <c r="H195" i="5"/>
  <c r="H194" i="5"/>
  <c r="H188" i="5"/>
  <c r="H184" i="5"/>
  <c r="H182" i="5"/>
  <c r="H181" i="5"/>
  <c r="H180" i="5"/>
  <c r="H179" i="5"/>
  <c r="H135" i="5"/>
  <c r="H134" i="5"/>
  <c r="H133" i="5"/>
  <c r="H141" i="5"/>
  <c r="H140" i="5"/>
  <c r="H139" i="5"/>
  <c r="H138" i="5"/>
  <c r="H136" i="5"/>
  <c r="H132" i="5"/>
  <c r="H115" i="5"/>
  <c r="H114" i="5"/>
  <c r="H113" i="5"/>
  <c r="H112" i="5"/>
  <c r="H110" i="5"/>
  <c r="H109" i="5"/>
  <c r="H108" i="5"/>
  <c r="H107" i="5"/>
  <c r="H106" i="5"/>
  <c r="H105" i="5"/>
  <c r="H103" i="5"/>
  <c r="H102" i="5"/>
  <c r="H101" i="5"/>
  <c r="H100" i="5"/>
  <c r="H99" i="5"/>
  <c r="H97" i="5"/>
  <c r="H96" i="5"/>
  <c r="H93" i="5"/>
  <c r="H92" i="5"/>
  <c r="H91" i="5"/>
  <c r="H89" i="5"/>
  <c r="H88" i="5"/>
  <c r="H87" i="5"/>
  <c r="H86" i="5"/>
  <c r="H85" i="5"/>
  <c r="H83" i="5"/>
  <c r="H82" i="5"/>
  <c r="H78" i="5"/>
  <c r="H51" i="5"/>
  <c r="H49" i="5"/>
  <c r="H50" i="5"/>
  <c r="C76" i="16" l="1"/>
  <c r="U141" i="5" s="1"/>
  <c r="C68" i="16"/>
  <c r="U88" i="5" s="1"/>
  <c r="C72" i="16"/>
  <c r="U121" i="5" s="1"/>
  <c r="B53" i="4"/>
  <c r="D60" i="15" l="1"/>
  <c r="D59" i="15"/>
  <c r="D58" i="15"/>
  <c r="D57" i="15"/>
  <c r="D70" i="15"/>
  <c r="E70" i="15" s="1"/>
  <c r="D69" i="15"/>
  <c r="H69" i="15" s="1"/>
  <c r="D68" i="15"/>
  <c r="E68" i="15" s="1"/>
  <c r="D67" i="15"/>
  <c r="M67" i="15" s="1"/>
  <c r="J67" i="15" s="1"/>
  <c r="D65" i="15"/>
  <c r="D64" i="15"/>
  <c r="D63" i="15"/>
  <c r="D62" i="15"/>
  <c r="D55" i="15"/>
  <c r="D54" i="15"/>
  <c r="D53" i="15"/>
  <c r="D52" i="15"/>
  <c r="D50" i="15"/>
  <c r="D49" i="15"/>
  <c r="D48" i="15"/>
  <c r="D47" i="15"/>
  <c r="D45" i="15"/>
  <c r="D44" i="15"/>
  <c r="D43" i="15"/>
  <c r="D42" i="15"/>
  <c r="D40" i="15"/>
  <c r="D39" i="15"/>
  <c r="D38" i="15"/>
  <c r="D37" i="15"/>
  <c r="D35" i="15"/>
  <c r="D34" i="15"/>
  <c r="D33" i="15"/>
  <c r="D32" i="15"/>
  <c r="D30" i="15"/>
  <c r="D29" i="15"/>
  <c r="D28" i="15"/>
  <c r="D27" i="15"/>
  <c r="D25" i="15"/>
  <c r="D24" i="15"/>
  <c r="D23" i="15"/>
  <c r="D22" i="15"/>
  <c r="D20" i="15"/>
  <c r="D19" i="15"/>
  <c r="D18" i="15"/>
  <c r="D17" i="15"/>
  <c r="H68" i="15" l="1"/>
  <c r="K68" i="15"/>
  <c r="K67" i="15"/>
  <c r="K69" i="15"/>
  <c r="M68" i="15"/>
  <c r="J68" i="15" s="1"/>
  <c r="E67" i="15"/>
  <c r="H67" i="15"/>
  <c r="M69" i="15"/>
  <c r="J69" i="15" s="1"/>
  <c r="E69" i="15"/>
  <c r="W4" i="15"/>
  <c r="G67" i="15"/>
  <c r="G68" i="15" l="1"/>
  <c r="G69" i="15"/>
  <c r="O37" i="6" l="1"/>
  <c r="O32" i="6"/>
  <c r="E34" i="6"/>
  <c r="E33" i="6"/>
  <c r="E32" i="6"/>
  <c r="K44" i="6"/>
  <c r="K43" i="6"/>
  <c r="K42" i="6"/>
  <c r="E44" i="6"/>
  <c r="E43" i="6"/>
  <c r="E42" i="6"/>
  <c r="E39" i="6"/>
  <c r="E38" i="6"/>
  <c r="E37" i="6"/>
  <c r="K39" i="6"/>
  <c r="K38" i="6"/>
  <c r="K37" i="6"/>
  <c r="K34" i="6"/>
  <c r="K33" i="6"/>
  <c r="K32" i="6"/>
  <c r="Q39" i="6"/>
  <c r="Q38" i="6"/>
  <c r="Q37" i="6"/>
  <c r="Q34" i="6"/>
  <c r="Q33" i="6"/>
  <c r="Q32" i="6"/>
  <c r="Q29" i="6"/>
  <c r="Q28" i="6"/>
  <c r="Q27" i="6"/>
  <c r="K29" i="6"/>
  <c r="K28" i="6"/>
  <c r="K27" i="6"/>
  <c r="E29" i="6"/>
  <c r="E28" i="6"/>
  <c r="E27" i="6"/>
  <c r="Q40" i="6"/>
  <c r="O27" i="6" l="1"/>
  <c r="I42" i="6"/>
  <c r="I37" i="6"/>
  <c r="I32" i="6"/>
  <c r="I27" i="6"/>
  <c r="C42" i="6"/>
  <c r="C37" i="6"/>
  <c r="C32" i="6"/>
  <c r="C27" i="6"/>
  <c r="Q35" i="6" l="1"/>
  <c r="D12" i="15"/>
  <c r="P137" i="15"/>
  <c r="P136" i="15"/>
  <c r="P135" i="15"/>
  <c r="P134" i="15"/>
  <c r="P133" i="15"/>
  <c r="P132" i="15"/>
  <c r="P131" i="15"/>
  <c r="P130" i="15"/>
  <c r="P129" i="15"/>
  <c r="P128" i="15"/>
  <c r="B124" i="15"/>
  <c r="B123" i="15"/>
  <c r="B121" i="15"/>
  <c r="B120" i="15"/>
  <c r="B119" i="15"/>
  <c r="B117" i="15"/>
  <c r="X70" i="15"/>
  <c r="W70" i="15"/>
  <c r="S70" i="15"/>
  <c r="R70" i="15"/>
  <c r="O70" i="15"/>
  <c r="V70" i="15"/>
  <c r="O69" i="15"/>
  <c r="O68" i="15"/>
  <c r="O67" i="15"/>
  <c r="X66" i="15"/>
  <c r="W66" i="15"/>
  <c r="V66" i="15"/>
  <c r="X65" i="15"/>
  <c r="W65" i="15"/>
  <c r="S65" i="15"/>
  <c r="R65" i="15"/>
  <c r="O65" i="15"/>
  <c r="O64" i="15"/>
  <c r="O63" i="15"/>
  <c r="O62" i="15"/>
  <c r="C62" i="15"/>
  <c r="X61" i="15"/>
  <c r="W61" i="15"/>
  <c r="V61" i="15"/>
  <c r="X60" i="15"/>
  <c r="W60" i="15"/>
  <c r="S60" i="15"/>
  <c r="R60" i="15"/>
  <c r="O60" i="15"/>
  <c r="O59" i="15"/>
  <c r="O58" i="15"/>
  <c r="O57" i="15"/>
  <c r="C57" i="15"/>
  <c r="X56" i="15"/>
  <c r="W56" i="15"/>
  <c r="V56" i="15"/>
  <c r="X55" i="15"/>
  <c r="W55" i="15"/>
  <c r="S55" i="15"/>
  <c r="R55" i="15"/>
  <c r="O55" i="15"/>
  <c r="O54" i="15"/>
  <c r="O53" i="15"/>
  <c r="O52" i="15"/>
  <c r="C52" i="15"/>
  <c r="X51" i="15"/>
  <c r="W51" i="15"/>
  <c r="V51" i="15"/>
  <c r="X50" i="15"/>
  <c r="W50" i="15"/>
  <c r="S50" i="15"/>
  <c r="R50" i="15"/>
  <c r="O50" i="15"/>
  <c r="O49" i="15"/>
  <c r="O48" i="15"/>
  <c r="O47" i="15"/>
  <c r="C47" i="15"/>
  <c r="X46" i="15"/>
  <c r="W46" i="15"/>
  <c r="V46" i="15"/>
  <c r="X45" i="15"/>
  <c r="W45" i="15"/>
  <c r="S45" i="15"/>
  <c r="R45" i="15"/>
  <c r="O45" i="15"/>
  <c r="O44" i="15"/>
  <c r="O43" i="15"/>
  <c r="O42" i="15"/>
  <c r="C42" i="15"/>
  <c r="X41" i="15"/>
  <c r="W41" i="15"/>
  <c r="V41" i="15"/>
  <c r="X40" i="15"/>
  <c r="W40" i="15"/>
  <c r="S40" i="15"/>
  <c r="R40" i="15"/>
  <c r="O40" i="15"/>
  <c r="O39" i="15"/>
  <c r="O38" i="15"/>
  <c r="O37" i="15"/>
  <c r="C37" i="15"/>
  <c r="X36" i="15"/>
  <c r="W36" i="15"/>
  <c r="V36" i="15"/>
  <c r="X35" i="15"/>
  <c r="W35" i="15"/>
  <c r="S35" i="15"/>
  <c r="R35" i="15"/>
  <c r="O35" i="15"/>
  <c r="O34" i="15"/>
  <c r="O33" i="15"/>
  <c r="O32" i="15"/>
  <c r="C32" i="15"/>
  <c r="X31" i="15"/>
  <c r="W31" i="15"/>
  <c r="V31" i="15"/>
  <c r="X30" i="15"/>
  <c r="W30" i="15"/>
  <c r="S30" i="15"/>
  <c r="R30" i="15"/>
  <c r="O30" i="15"/>
  <c r="O29" i="15"/>
  <c r="O28" i="15"/>
  <c r="O27" i="15"/>
  <c r="C27" i="15"/>
  <c r="X26" i="15"/>
  <c r="W26" i="15"/>
  <c r="V26" i="15"/>
  <c r="X25" i="15"/>
  <c r="W25" i="15"/>
  <c r="S25" i="15"/>
  <c r="R25" i="15"/>
  <c r="O25" i="15"/>
  <c r="O24" i="15"/>
  <c r="O23" i="15"/>
  <c r="O22" i="15"/>
  <c r="C22" i="15"/>
  <c r="X21" i="15"/>
  <c r="W21" i="15"/>
  <c r="V21" i="15"/>
  <c r="X20" i="15"/>
  <c r="W20" i="15"/>
  <c r="S20" i="15"/>
  <c r="R20" i="15"/>
  <c r="O20" i="15"/>
  <c r="O19" i="15"/>
  <c r="O18" i="15"/>
  <c r="O17" i="15"/>
  <c r="C17" i="15"/>
  <c r="X16" i="15"/>
  <c r="W16" i="15"/>
  <c r="V16" i="15"/>
  <c r="X15" i="15"/>
  <c r="W15" i="15"/>
  <c r="S15" i="15"/>
  <c r="R15" i="15"/>
  <c r="O15" i="15"/>
  <c r="D15" i="15"/>
  <c r="O14" i="15"/>
  <c r="D14" i="15"/>
  <c r="O13" i="15"/>
  <c r="D13" i="15"/>
  <c r="O12" i="15"/>
  <c r="C12" i="15"/>
  <c r="D8" i="15"/>
  <c r="D7" i="15"/>
  <c r="D6" i="15"/>
  <c r="E29" i="15" l="1"/>
  <c r="E35" i="6" s="1"/>
  <c r="E27" i="15"/>
  <c r="E30" i="15"/>
  <c r="V30" i="15" s="1"/>
  <c r="K29" i="15"/>
  <c r="K27" i="15"/>
  <c r="M28" i="15"/>
  <c r="M29" i="15"/>
  <c r="K28" i="15"/>
  <c r="H28" i="15"/>
  <c r="E28" i="15"/>
  <c r="M27" i="15"/>
  <c r="H29" i="15"/>
  <c r="H27" i="15"/>
  <c r="K58" i="15"/>
  <c r="K59" i="15"/>
  <c r="E59" i="15"/>
  <c r="K45" i="6" s="1"/>
  <c r="E57" i="15"/>
  <c r="H58" i="15"/>
  <c r="K57" i="15"/>
  <c r="E60" i="15"/>
  <c r="V60" i="15" s="1"/>
  <c r="E58" i="15"/>
  <c r="M59" i="15"/>
  <c r="M57" i="15"/>
  <c r="H59" i="15"/>
  <c r="H57" i="15"/>
  <c r="M58" i="15"/>
  <c r="M34" i="15"/>
  <c r="M32" i="15"/>
  <c r="E32" i="15"/>
  <c r="K33" i="15"/>
  <c r="H33" i="15"/>
  <c r="K34" i="15"/>
  <c r="K32" i="15"/>
  <c r="E34" i="15"/>
  <c r="E40" i="6" s="1"/>
  <c r="M33" i="15"/>
  <c r="H34" i="15"/>
  <c r="H32" i="15"/>
  <c r="E35" i="15"/>
  <c r="V35" i="15" s="1"/>
  <c r="E33" i="15"/>
  <c r="E8" i="15"/>
  <c r="K8" i="15"/>
  <c r="F8" i="15"/>
  <c r="I8" i="15"/>
  <c r="M14" i="15"/>
  <c r="J14" i="15" s="1"/>
  <c r="E15" i="15"/>
  <c r="V15" i="15" s="1"/>
  <c r="M13" i="15"/>
  <c r="M12" i="15"/>
  <c r="E14" i="15"/>
  <c r="H13" i="15"/>
  <c r="H14" i="15"/>
  <c r="K13" i="15"/>
  <c r="K14" i="15"/>
  <c r="E13" i="15"/>
  <c r="H23" i="15"/>
  <c r="K24" i="15"/>
  <c r="H22" i="15"/>
  <c r="E24" i="15"/>
  <c r="E30" i="6" s="1"/>
  <c r="M23" i="15"/>
  <c r="E25" i="15"/>
  <c r="V25" i="15" s="1"/>
  <c r="E23" i="15"/>
  <c r="K22" i="15"/>
  <c r="H24" i="15"/>
  <c r="E22" i="15"/>
  <c r="M24" i="15"/>
  <c r="M22" i="15"/>
  <c r="K23" i="15"/>
  <c r="E6" i="15"/>
  <c r="H44" i="15"/>
  <c r="H42" i="15"/>
  <c r="H43" i="15"/>
  <c r="E43" i="15"/>
  <c r="M44" i="15"/>
  <c r="M42" i="15"/>
  <c r="E44" i="15"/>
  <c r="K30" i="6" s="1"/>
  <c r="E42" i="15"/>
  <c r="K43" i="15"/>
  <c r="M43" i="15"/>
  <c r="E45" i="15"/>
  <c r="V45" i="15" s="1"/>
  <c r="K44" i="15"/>
  <c r="K42" i="15"/>
  <c r="M53" i="15"/>
  <c r="M54" i="15"/>
  <c r="K54" i="15"/>
  <c r="H54" i="15"/>
  <c r="K53" i="15"/>
  <c r="M52" i="15"/>
  <c r="K52" i="15"/>
  <c r="H53" i="15"/>
  <c r="E55" i="15"/>
  <c r="V55" i="15" s="1"/>
  <c r="E53" i="15"/>
  <c r="H52" i="15"/>
  <c r="E54" i="15"/>
  <c r="K40" i="6" s="1"/>
  <c r="E52" i="15"/>
  <c r="K19" i="15"/>
  <c r="K17" i="15"/>
  <c r="M18" i="15"/>
  <c r="E20" i="15"/>
  <c r="V20" i="15" s="1"/>
  <c r="H19" i="15"/>
  <c r="H17" i="15"/>
  <c r="E17" i="15"/>
  <c r="K18" i="15"/>
  <c r="E19" i="15"/>
  <c r="H18" i="15"/>
  <c r="E18" i="15"/>
  <c r="M19" i="15"/>
  <c r="M17" i="15"/>
  <c r="K38" i="15"/>
  <c r="M39" i="15"/>
  <c r="K37" i="15"/>
  <c r="E39" i="15"/>
  <c r="E45" i="6" s="1"/>
  <c r="H38" i="15"/>
  <c r="K39" i="15"/>
  <c r="H39" i="15"/>
  <c r="E40" i="15"/>
  <c r="V40" i="15" s="1"/>
  <c r="E38" i="15"/>
  <c r="M37" i="15"/>
  <c r="H37" i="15"/>
  <c r="E37" i="15"/>
  <c r="M38" i="15"/>
  <c r="E50" i="15"/>
  <c r="V50" i="15" s="1"/>
  <c r="E48" i="15"/>
  <c r="E49" i="15"/>
  <c r="K35" i="6" s="1"/>
  <c r="K48" i="15"/>
  <c r="M49" i="15"/>
  <c r="M47" i="15"/>
  <c r="E47" i="15"/>
  <c r="K49" i="15"/>
  <c r="K47" i="15"/>
  <c r="H49" i="15"/>
  <c r="H47" i="15"/>
  <c r="M48" i="15"/>
  <c r="H48" i="15"/>
  <c r="E7" i="15"/>
  <c r="K7" i="15"/>
  <c r="F7" i="15"/>
  <c r="I7" i="15"/>
  <c r="H64" i="15"/>
  <c r="H62" i="15"/>
  <c r="E65" i="15"/>
  <c r="V65" i="15" s="1"/>
  <c r="M62" i="15"/>
  <c r="E64" i="15"/>
  <c r="Q30" i="6" s="1"/>
  <c r="E62" i="15"/>
  <c r="M63" i="15"/>
  <c r="K63" i="15"/>
  <c r="H63" i="15"/>
  <c r="E63" i="15"/>
  <c r="M64" i="15"/>
  <c r="K64" i="15"/>
  <c r="K62" i="15"/>
  <c r="W67" i="15"/>
  <c r="X67" i="15"/>
  <c r="V69" i="15"/>
  <c r="W69" i="15"/>
  <c r="X69" i="15"/>
  <c r="Q70" i="15"/>
  <c r="V67" i="15"/>
  <c r="G14" i="15" l="1"/>
  <c r="Q14" i="15" s="1"/>
  <c r="X29" i="15"/>
  <c r="X24" i="15"/>
  <c r="X32" i="15"/>
  <c r="X19" i="15"/>
  <c r="X54" i="15"/>
  <c r="Q25" i="15"/>
  <c r="L8" i="15"/>
  <c r="X64" i="15"/>
  <c r="X59" i="15"/>
  <c r="X34" i="15"/>
  <c r="X63" i="15"/>
  <c r="J7" i="15"/>
  <c r="X39" i="15"/>
  <c r="X33" i="15"/>
  <c r="X58" i="15"/>
  <c r="G7" i="15"/>
  <c r="I130" i="15" s="1"/>
  <c r="X49" i="15"/>
  <c r="X14" i="15"/>
  <c r="L7" i="15"/>
  <c r="X48" i="15"/>
  <c r="X23" i="15"/>
  <c r="W14" i="15"/>
  <c r="M7" i="15"/>
  <c r="F14" i="6" s="1"/>
  <c r="X42" i="15"/>
  <c r="X44" i="15"/>
  <c r="J17" i="15"/>
  <c r="W17" i="15" s="1"/>
  <c r="G17" i="15"/>
  <c r="G54" i="15"/>
  <c r="V54" i="15" s="1"/>
  <c r="J54" i="15"/>
  <c r="W54" i="15" s="1"/>
  <c r="J42" i="15"/>
  <c r="W42" i="15" s="1"/>
  <c r="G42" i="15"/>
  <c r="V42" i="15" s="1"/>
  <c r="G32" i="15"/>
  <c r="V32" i="15" s="1"/>
  <c r="J32" i="15"/>
  <c r="W32" i="15" s="1"/>
  <c r="X22" i="15"/>
  <c r="G47" i="15"/>
  <c r="J47" i="15"/>
  <c r="W47" i="15" s="1"/>
  <c r="G43" i="15"/>
  <c r="Q43" i="15" s="1"/>
  <c r="J43" i="15"/>
  <c r="W43" i="15" s="1"/>
  <c r="J24" i="15"/>
  <c r="W24" i="15" s="1"/>
  <c r="G24" i="15"/>
  <c r="V24" i="15" s="1"/>
  <c r="J33" i="15"/>
  <c r="W33" i="15" s="1"/>
  <c r="G33" i="15"/>
  <c r="Q33" i="15" s="1"/>
  <c r="L28" i="6" s="1"/>
  <c r="G34" i="15"/>
  <c r="J34" i="15"/>
  <c r="W34" i="15" s="1"/>
  <c r="G27" i="15"/>
  <c r="J27" i="15"/>
  <c r="W27" i="15" s="1"/>
  <c r="G19" i="15"/>
  <c r="Q19" i="15" s="1"/>
  <c r="J19" i="15"/>
  <c r="W19" i="15" s="1"/>
  <c r="G53" i="15"/>
  <c r="J53" i="15"/>
  <c r="W53" i="15" s="1"/>
  <c r="J29" i="15"/>
  <c r="W29" i="15" s="1"/>
  <c r="G29" i="15"/>
  <c r="V29" i="15" s="1"/>
  <c r="Q20" i="15"/>
  <c r="M8" i="15"/>
  <c r="F15" i="6" s="1"/>
  <c r="J18" i="15"/>
  <c r="W18" i="15" s="1"/>
  <c r="G18" i="15"/>
  <c r="J44" i="15"/>
  <c r="W44" i="15" s="1"/>
  <c r="G44" i="15"/>
  <c r="Q44" i="15" s="1"/>
  <c r="L39" i="6" s="1"/>
  <c r="J59" i="15"/>
  <c r="W59" i="15" s="1"/>
  <c r="G59" i="15"/>
  <c r="V59" i="15" s="1"/>
  <c r="J63" i="15"/>
  <c r="W63" i="15" s="1"/>
  <c r="G63" i="15"/>
  <c r="V63" i="15" s="1"/>
  <c r="J38" i="15"/>
  <c r="W38" i="15" s="1"/>
  <c r="G38" i="15"/>
  <c r="V38" i="15" s="1"/>
  <c r="J52" i="15"/>
  <c r="W52" i="15" s="1"/>
  <c r="G52" i="15"/>
  <c r="J8" i="15"/>
  <c r="J62" i="15"/>
  <c r="W62" i="15" s="1"/>
  <c r="G62" i="15"/>
  <c r="G49" i="15"/>
  <c r="V49" i="15" s="1"/>
  <c r="J49" i="15"/>
  <c r="W49" i="15" s="1"/>
  <c r="J37" i="15"/>
  <c r="W37" i="15" s="1"/>
  <c r="G37" i="15"/>
  <c r="V37" i="15" s="1"/>
  <c r="J39" i="15"/>
  <c r="W39" i="15" s="1"/>
  <c r="G39" i="15"/>
  <c r="V39" i="15" s="1"/>
  <c r="G8" i="15"/>
  <c r="L135" i="15" s="1"/>
  <c r="G58" i="15"/>
  <c r="V58" i="15" s="1"/>
  <c r="J58" i="15"/>
  <c r="W58" i="15" s="1"/>
  <c r="J57" i="15"/>
  <c r="W57" i="15" s="1"/>
  <c r="G57" i="15"/>
  <c r="V57" i="15" s="1"/>
  <c r="J28" i="15"/>
  <c r="W28" i="15" s="1"/>
  <c r="G28" i="15"/>
  <c r="J23" i="15"/>
  <c r="W23" i="15" s="1"/>
  <c r="G23" i="15"/>
  <c r="Q23" i="15" s="1"/>
  <c r="R23" i="15" s="1"/>
  <c r="G22" i="15"/>
  <c r="V22" i="15" s="1"/>
  <c r="J22" i="15"/>
  <c r="W22" i="15" s="1"/>
  <c r="J64" i="15"/>
  <c r="W64" i="15" s="1"/>
  <c r="G64" i="15"/>
  <c r="V64" i="15" s="1"/>
  <c r="G48" i="15"/>
  <c r="Q48" i="15" s="1"/>
  <c r="L43" i="6" s="1"/>
  <c r="J48" i="15"/>
  <c r="W48" i="15" s="1"/>
  <c r="Q50" i="15"/>
  <c r="X47" i="15"/>
  <c r="W68" i="15"/>
  <c r="X68" i="15"/>
  <c r="X57" i="15"/>
  <c r="Q60" i="15"/>
  <c r="X38" i="15"/>
  <c r="X13" i="15"/>
  <c r="Q67" i="15"/>
  <c r="Q40" i="15"/>
  <c r="X37" i="15"/>
  <c r="Q65" i="15"/>
  <c r="X62" i="15"/>
  <c r="X52" i="15"/>
  <c r="Q55" i="15"/>
  <c r="G12" i="15"/>
  <c r="J12" i="15"/>
  <c r="X27" i="15"/>
  <c r="Q30" i="15"/>
  <c r="X17" i="15"/>
  <c r="Q69" i="15"/>
  <c r="R39" i="6" s="1"/>
  <c r="J13" i="15"/>
  <c r="W13" i="15" s="1"/>
  <c r="G13" i="15"/>
  <c r="X28" i="15"/>
  <c r="X53" i="15"/>
  <c r="X18" i="15"/>
  <c r="X43" i="15"/>
  <c r="Q45" i="15"/>
  <c r="Q35" i="15"/>
  <c r="V14" i="15" l="1"/>
  <c r="Q38" i="15"/>
  <c r="L33" i="6" s="1"/>
  <c r="I134" i="15"/>
  <c r="I131" i="15"/>
  <c r="H7" i="15"/>
  <c r="I129" i="15"/>
  <c r="V19" i="15"/>
  <c r="L133" i="15"/>
  <c r="H8" i="15"/>
  <c r="Q57" i="15"/>
  <c r="Q58" i="15"/>
  <c r="R58" i="15" s="1"/>
  <c r="Q29" i="15"/>
  <c r="F44" i="6" s="1"/>
  <c r="Q63" i="15"/>
  <c r="R33" i="6" s="1"/>
  <c r="Q39" i="15"/>
  <c r="L34" i="6" s="1"/>
  <c r="Q54" i="15"/>
  <c r="S54" i="15" s="1"/>
  <c r="V33" i="15"/>
  <c r="V44" i="15"/>
  <c r="Q64" i="15"/>
  <c r="R34" i="6" s="1"/>
  <c r="Q49" i="15"/>
  <c r="S49" i="15" s="1"/>
  <c r="Q42" i="15"/>
  <c r="L37" i="6" s="1"/>
  <c r="Q32" i="15"/>
  <c r="L27" i="6" s="1"/>
  <c r="V23" i="15"/>
  <c r="Q24" i="15"/>
  <c r="F39" i="6" s="1"/>
  <c r="L132" i="15"/>
  <c r="Q22" i="15"/>
  <c r="F37" i="6" s="1"/>
  <c r="V48" i="15"/>
  <c r="L136" i="15"/>
  <c r="S48" i="15"/>
  <c r="R48" i="15"/>
  <c r="S69" i="15"/>
  <c r="R69" i="15"/>
  <c r="R44" i="15"/>
  <c r="S44" i="15"/>
  <c r="S39" i="15"/>
  <c r="R39" i="15"/>
  <c r="S67" i="15"/>
  <c r="R37" i="6"/>
  <c r="R57" i="15"/>
  <c r="R42" i="15"/>
  <c r="S22" i="15"/>
  <c r="S23" i="15"/>
  <c r="F38" i="6"/>
  <c r="R19" i="15"/>
  <c r="F34" i="6"/>
  <c r="S14" i="15"/>
  <c r="F29" i="6"/>
  <c r="S42" i="15"/>
  <c r="S57" i="15"/>
  <c r="R22" i="15"/>
  <c r="R67" i="15"/>
  <c r="S43" i="15"/>
  <c r="V43" i="15"/>
  <c r="S19" i="15"/>
  <c r="Q47" i="15"/>
  <c r="Q13" i="15"/>
  <c r="Q59" i="15"/>
  <c r="S59" i="15" s="1"/>
  <c r="Q17" i="15"/>
  <c r="V17" i="15"/>
  <c r="V47" i="15"/>
  <c r="Q18" i="15"/>
  <c r="V18" i="15"/>
  <c r="V13" i="15"/>
  <c r="Q62" i="15"/>
  <c r="R32" i="6" s="1"/>
  <c r="V62" i="15"/>
  <c r="Q68" i="15"/>
  <c r="R38" i="6" s="1"/>
  <c r="V68" i="15"/>
  <c r="S33" i="15"/>
  <c r="R33" i="15"/>
  <c r="Q52" i="15"/>
  <c r="V52" i="15"/>
  <c r="Q53" i="15"/>
  <c r="R28" i="6" s="1"/>
  <c r="V53" i="15"/>
  <c r="Q27" i="15"/>
  <c r="V27" i="15"/>
  <c r="R14" i="15"/>
  <c r="Q37" i="15"/>
  <c r="Q34" i="15"/>
  <c r="L29" i="6" s="1"/>
  <c r="V34" i="15"/>
  <c r="Q28" i="15"/>
  <c r="F43" i="6" s="1"/>
  <c r="V28" i="15"/>
  <c r="S64" i="15" l="1"/>
  <c r="R64" i="15"/>
  <c r="R32" i="15"/>
  <c r="S32" i="15"/>
  <c r="S29" i="15"/>
  <c r="R29" i="15"/>
  <c r="S58" i="15"/>
  <c r="R49" i="15"/>
  <c r="R63" i="15"/>
  <c r="R29" i="6"/>
  <c r="R54" i="15"/>
  <c r="S63" i="15"/>
  <c r="L44" i="6"/>
  <c r="R24" i="15"/>
  <c r="S24" i="15"/>
  <c r="R38" i="15"/>
  <c r="S38" i="15"/>
  <c r="R59" i="15"/>
  <c r="R68" i="15"/>
  <c r="S68" i="15"/>
  <c r="R53" i="15"/>
  <c r="S53" i="15"/>
  <c r="R34" i="15"/>
  <c r="S34" i="15"/>
  <c r="R28" i="15"/>
  <c r="S28" i="15"/>
  <c r="S52" i="15"/>
  <c r="R27" i="6"/>
  <c r="S47" i="15"/>
  <c r="L42" i="6"/>
  <c r="R43" i="15"/>
  <c r="L38" i="6"/>
  <c r="S18" i="15"/>
  <c r="F33" i="6"/>
  <c r="R17" i="15"/>
  <c r="F32" i="6"/>
  <c r="S27" i="15"/>
  <c r="F42" i="6"/>
  <c r="S62" i="15"/>
  <c r="S37" i="15"/>
  <c r="L32" i="6"/>
  <c r="S13" i="15"/>
  <c r="F28" i="6"/>
  <c r="R47" i="15"/>
  <c r="R52" i="15"/>
  <c r="R37" i="15"/>
  <c r="R27" i="15"/>
  <c r="R18" i="15"/>
  <c r="S17" i="15"/>
  <c r="R13" i="15"/>
  <c r="R62" i="15"/>
  <c r="D11" i="5" l="1"/>
  <c r="E22" i="13" l="1"/>
  <c r="E23" i="13" s="1"/>
  <c r="E24" i="13" l="1"/>
  <c r="E25" i="13" s="1"/>
  <c r="E26" i="13" s="1"/>
  <c r="E27" i="13" s="1"/>
  <c r="E28" i="13" s="1"/>
  <c r="D19" i="13" s="1"/>
  <c r="B13" i="14"/>
  <c r="V4" i="15" l="1"/>
  <c r="X4" i="15" s="1"/>
  <c r="AA5" i="15" l="1"/>
  <c r="AB5" i="15" s="1"/>
  <c r="AE5" i="15"/>
  <c r="AF5" i="15" s="1"/>
  <c r="AA4" i="15"/>
  <c r="AB4" i="15" s="1"/>
  <c r="AE4" i="15"/>
  <c r="AF4" i="15" s="1"/>
  <c r="K6" i="15"/>
  <c r="L6" i="15" s="1"/>
  <c r="E12" i="15"/>
  <c r="AC5" i="15"/>
  <c r="AD5" i="15" s="1"/>
  <c r="H12" i="15"/>
  <c r="W12" i="15" s="1"/>
  <c r="K12" i="15"/>
  <c r="Q15" i="15" s="1"/>
  <c r="AC4" i="15"/>
  <c r="AD4" i="15" s="1"/>
  <c r="I6" i="15"/>
  <c r="J6" i="15" s="1"/>
  <c r="F6" i="15"/>
  <c r="C5" i="15" l="1"/>
  <c r="C20" i="6" s="1"/>
  <c r="G117" i="15" s="1"/>
  <c r="Q13" i="6" s="1"/>
  <c r="Q12" i="15"/>
  <c r="F27" i="6" s="1"/>
  <c r="V12" i="15"/>
  <c r="X12" i="15"/>
  <c r="G6" i="15"/>
  <c r="M6" i="15"/>
  <c r="F13" i="6" s="1"/>
  <c r="R12" i="15" l="1"/>
  <c r="G119" i="15"/>
  <c r="Q14" i="6" s="1"/>
  <c r="G123" i="15"/>
  <c r="Q15" i="6" s="1"/>
  <c r="S12" i="15"/>
  <c r="H6" i="15"/>
  <c r="F128" i="15"/>
  <c r="G140" i="15" s="1"/>
</calcChain>
</file>

<file path=xl/sharedStrings.xml><?xml version="1.0" encoding="utf-8"?>
<sst xmlns="http://schemas.openxmlformats.org/spreadsheetml/2006/main" count="3223" uniqueCount="1803">
  <si>
    <t>CSDDD</t>
  </si>
  <si>
    <t>Biodiversity</t>
  </si>
  <si>
    <t>Term</t>
  </si>
  <si>
    <t>Description</t>
  </si>
  <si>
    <t>Air pollution</t>
  </si>
  <si>
    <t xml:space="preserve">The presence of toxic chemicals or compounds (including those of biological origin) in the air, at levels that pose a health risk to workers and the community. In agriculture, this includes pesticides and soil particles, but also greenhouse gases. </t>
  </si>
  <si>
    <t>Agrochemicals</t>
  </si>
  <si>
    <t>Plant protection products, fertilisers, thinning or crop setting agents.</t>
  </si>
  <si>
    <t>Assets (fixed)</t>
  </si>
  <si>
    <t>Property, Plant &amp; Equipment (PPE)</t>
  </si>
  <si>
    <t>Typically structures, equipment and machinery. Fixed or PPE assets are (a) held for use in the production or supply of goods or services, and (b) expected to be used during more than one year.</t>
  </si>
  <si>
    <t>Base ratio</t>
  </si>
  <si>
    <t>Base Cation Saturation Ratio (BCSR)</t>
  </si>
  <si>
    <t xml:space="preserve">See nutrients. </t>
  </si>
  <si>
    <t>Beneficial species</t>
  </si>
  <si>
    <t>See species.</t>
  </si>
  <si>
    <t>The variability among living organisms from all sources and the ecological complexes of which they are a part; this includes diversity within species, between species and of ecosystems.</t>
  </si>
  <si>
    <t>Biodiversity, Agro-biodiversity</t>
  </si>
  <si>
    <t>Agro-biodiversity</t>
  </si>
  <si>
    <t>The variety and variability of animals, plants and micro-organisms that are used directly or indirectly for food and agriculture, including crops, livestock, forestry and fisheries. It comprises the diversity of genetic resources and species used for food, fodder, fibre, fuel and pharmaceuticals. It also includes the diversity of non-harvested species that support production, and those in the wider environment that support agro-ecosystems and their diversity.</t>
  </si>
  <si>
    <t>Biodiversity, Biodiversity Action Plan</t>
  </si>
  <si>
    <t>(BAP)</t>
  </si>
  <si>
    <t>A plan to conserve or enhance biodiversity.</t>
  </si>
  <si>
    <t>Briquette</t>
  </si>
  <si>
    <t>Biomass briquette</t>
  </si>
  <si>
    <t>Various forms of biomass, such as wood shaving and other dry material like grain husk or bran, can be compressed into briquettes of roughly the size and shape of conventional firewood logs. Although similar to logs, they are typically dryer and more dense.
Briquettes may also come in the form of peat or charcoal, but these are considered unsustainable (non-renewable) forms.</t>
  </si>
  <si>
    <t>Bonded labour</t>
  </si>
  <si>
    <t>Forced labour</t>
  </si>
  <si>
    <t>See labour.</t>
  </si>
  <si>
    <t>Buffer zone</t>
  </si>
  <si>
    <t>See Natural Buffer Zone (BFZ).</t>
  </si>
  <si>
    <t>By-product</t>
  </si>
  <si>
    <t xml:space="preserve">See product. </t>
  </si>
  <si>
    <t>Carbon</t>
  </si>
  <si>
    <t>Carbon dioxide (CO2)</t>
  </si>
  <si>
    <t>An important greenhouse gas, CO2 represents 1% of the earth’s atmosphere. CO2 is converted by plants into food via photosynthesis.
CO2 is the reference gas used for determining Global Warming Potential (GWP), i.e. one unit of CO2 = the equivalent of one unit of CO2 (expressed at CO2-eq) over a 100 year period.
CO2 is produced at the farm level mainly through the consumption of fossil fuels used in mechanisation, crop protection and irrigation.</t>
  </si>
  <si>
    <t>Carbon footprint</t>
  </si>
  <si>
    <t>The total greenhouse gas emission produced, expressed as carbon dioxide equivalent per unit of production.</t>
  </si>
  <si>
    <t>Carbon sequestration</t>
  </si>
  <si>
    <t xml:space="preserve"> Carbon Dioxide Removal (CDR), carbon sink (capture)</t>
  </si>
  <si>
    <t xml:space="preserve">The long-term removal, capture or sequestration of carbon from the atmosphere. In agriculture, this is mainly achieved by avoiding conversion of land of high carbon stock or high conservation value, increasing soil organic content, incorporating trees into production areas and other measures to improve biodiversity on the land. </t>
  </si>
  <si>
    <t>Collective bargaining</t>
  </si>
  <si>
    <t>Defined by the International Labour Organisation (ILO) as: all negotiations which take place between an employer, a group of employers or one or more employers' organisations, on the one hand, and one or more workers' organisations, on the other, for: (a) determining working conditions and terms of employment; and/or (b) regulating relations between employers and workers, and/or (c) regulating relations between employers or their organisations and a workers' organisation or workers' organisations.</t>
  </si>
  <si>
    <t>Consecutive working days</t>
  </si>
  <si>
    <t>The number of consecutive days worked without a rest day.</t>
  </si>
  <si>
    <t>Consumable goods</t>
  </si>
  <si>
    <t>Consumables, soft goods</t>
  </si>
  <si>
    <t>Goods that are intended to be consumed. In a farming operation, this refers to farm inputs like agrochemicals, fuel, fertilisers and irrigation.</t>
  </si>
  <si>
    <t>Contractor</t>
  </si>
  <si>
    <t>Sub-contractor</t>
  </si>
  <si>
    <t>An individual or organisation paid to provide specified goods or services.
A sub-contractor is a third party assigned by the contractor to undertake either part or the entire work on their behalf.</t>
  </si>
  <si>
    <t>Cover crop</t>
  </si>
  <si>
    <t>Ground cover</t>
  </si>
  <si>
    <t>Crops primarily planted to cover any exposed ground or soil. They may be subsequently harvested as a secondary function.</t>
  </si>
  <si>
    <t>Crop</t>
  </si>
  <si>
    <t>A plant grown or collected for subsistence or commercial value. It refers to its pre-harvest state. See product.</t>
  </si>
  <si>
    <t>Crop, annual</t>
  </si>
  <si>
    <t>Annual crop</t>
  </si>
  <si>
    <t>Plants that complete their life cycle within one season or year.</t>
  </si>
  <si>
    <t>Crop, biennal</t>
  </si>
  <si>
    <t>Biennial crop</t>
  </si>
  <si>
    <t>Plants that complete their life cycle within two years.</t>
  </si>
  <si>
    <t>Crop, diversity</t>
  </si>
  <si>
    <t>Crop diversity</t>
  </si>
  <si>
    <t>Increasing the number of crop species consecutively grown on the same land.</t>
  </si>
  <si>
    <t>Crop, residue</t>
  </si>
  <si>
    <t>Crop residue (trash)</t>
  </si>
  <si>
    <t>Material left behind after the crop has been harvested. Residues include stalks, stubble, leaves and seed pods.</t>
  </si>
  <si>
    <t>Crop, rotation</t>
  </si>
  <si>
    <t>Crop rotation</t>
  </si>
  <si>
    <t>The practice of alternating the species or families of annual or biannual crops grown on a specific field in a sequence so as to break weed, pest and disease cycles and to maintain or improve soil fertility and organic matter content.</t>
  </si>
  <si>
    <t>Crop, fallow</t>
  </si>
  <si>
    <t>Fallow, fallow land</t>
  </si>
  <si>
    <t xml:space="preserve">See fallow. </t>
  </si>
  <si>
    <t>Crop, perennial</t>
  </si>
  <si>
    <t>Perennial crop</t>
  </si>
  <si>
    <t>Any plant that lives longer than two years.</t>
  </si>
  <si>
    <t>Density</t>
  </si>
  <si>
    <t xml:space="preserve">See planting density. </t>
  </si>
  <si>
    <t>Discharge</t>
  </si>
  <si>
    <t xml:space="preserve">Release of (treated, untreated) water, wastewater, effluent or other outputs from a farming system. </t>
  </si>
  <si>
    <t>Drainage</t>
  </si>
  <si>
    <t>A natural process by which water moves across, through, and out of the soil as a result of the force of gravity.</t>
  </si>
  <si>
    <t>Drainage, sub-surface</t>
  </si>
  <si>
    <t>Sub-surface drainage,     Tile drainage</t>
  </si>
  <si>
    <t>A sub-surface drainage system typically comprises of narrow trenches dug to a depth below the soil root zone, fed by a series of underground channels or pipes. Sub-surface drainage is adopted where natural drainage does not occur quickly enough, i.e. crop is at risk of prolonged exposure to saturated conditions.</t>
  </si>
  <si>
    <t>Drainage, surface</t>
  </si>
  <si>
    <t>Surface drainage</t>
  </si>
  <si>
    <t>Using the slope of the land or creating rows, ridges, furrows and open channels to facilitate the removal of excess water.</t>
  </si>
  <si>
    <t>Ecosystem</t>
  </si>
  <si>
    <t>A dynamic complex of plant, animal and microorganism communities and their non-living environment interacting as a functional unit.</t>
  </si>
  <si>
    <t>Ecosystem services</t>
  </si>
  <si>
    <t>Benefits people obtain from ecosystems. These include provisioning services such as food and water; regulating services such as regulation of floods, drought, land degradation, and disease; supporting services such as soil formation and nutrient cycling; and cultural services such as recreational, spiritual, religious and other non-material benefits.</t>
  </si>
  <si>
    <t>Electroconductivity (EC)</t>
  </si>
  <si>
    <t>The presence of salts increases the ability of a solution to conduct an electrical current, so a high EC value indicates a high salinity level.</t>
  </si>
  <si>
    <t>Emergency contact details</t>
  </si>
  <si>
    <t>List of contact details for emergency services. This should include local nurse, doctor or hospital, the emergency services (police, ambulance, fire brigade) and senior management.</t>
  </si>
  <si>
    <t>Endangered species</t>
  </si>
  <si>
    <t>Energy</t>
  </si>
  <si>
    <t>The energy consumed in an agricultural production system (within the farm limits), including the energy used for the production of all off-farm inputs.</t>
  </si>
  <si>
    <t>Energy efficiency</t>
  </si>
  <si>
    <t>Energy Use Efficiency (EUE)</t>
  </si>
  <si>
    <t>A ratio between the output of products and services and an input of energy consumed. The goal of energy efficiency is to reduce the amount of energy required to provide products and services.</t>
  </si>
  <si>
    <t>Energy, fuel</t>
  </si>
  <si>
    <t>Fossil fuel, carbon fuel</t>
  </si>
  <si>
    <t>Carbon-based fuels, i.e. oil, coal, natural gas.</t>
  </si>
  <si>
    <t>Energy, renewable</t>
  </si>
  <si>
    <t>Renewable energy</t>
  </si>
  <si>
    <t>This is energy collected from renewable resources, which are naturally replenished on a human timescale. They are typically carbon-neutral and include solar, wind, water (potential energy, tidal energy) and geothermal heat.</t>
  </si>
  <si>
    <t>Erosion</t>
  </si>
  <si>
    <t>See soil erosion.</t>
  </si>
  <si>
    <t>Extensification</t>
  </si>
  <si>
    <t>Extensive farming</t>
  </si>
  <si>
    <t>Extensive agriculture</t>
  </si>
  <si>
    <t>Extensive farming relies or minimal amounts of labour and farm inputs in relation to area of land being farmed. The crop yield is primarily determined by the natural fertility of the soil, the terrain, the climate and the availability of water. It is less influenced by the farm inputs.</t>
  </si>
  <si>
    <t xml:space="preserve">Evapotranspiration </t>
  </si>
  <si>
    <t>(ET)</t>
  </si>
  <si>
    <t>The loss of water from the soil both by evaporation and by transpiration from the crops being grown.</t>
  </si>
  <si>
    <t>Fallow</t>
  </si>
  <si>
    <t xml:space="preserve">Fallow land </t>
  </si>
  <si>
    <t>A farming technique in which arable land is left without sowing for one or more vegetative cycles. The goal of fallowing is to allow the land to recover and store organic matter while retaining moisture and disrupting the lifecycles of pathogens by temporarily removing their hosts.</t>
  </si>
  <si>
    <t>Farmer</t>
  </si>
  <si>
    <t>Grower</t>
  </si>
  <si>
    <t xml:space="preserve">See producer. </t>
  </si>
  <si>
    <t>Fauna</t>
  </si>
  <si>
    <t>A reference to the animal species found in a given area.</t>
  </si>
  <si>
    <t>Fertiliser</t>
  </si>
  <si>
    <t>A material applied to the soil or crop to introduce one or more essential nutrient for plant growth.</t>
  </si>
  <si>
    <t>Fertiliser, fertigation</t>
  </si>
  <si>
    <t>Fertigation</t>
  </si>
  <si>
    <t>The application of fertiliser via the irrigation system. This is typically applied with water soluble fertilisers.</t>
  </si>
  <si>
    <t>Fertiliser, green manure</t>
  </si>
  <si>
    <t>Green manure</t>
  </si>
  <si>
    <t>Cover crops left to wither on a field so that they serve as either as a mulch or incorporated into the soil to improve the soil organic matter content. The plants used for green manure are primarily for this purpose.</t>
  </si>
  <si>
    <t>Fertiliser, organic</t>
  </si>
  <si>
    <t>Organic</t>
  </si>
  <si>
    <t>A fertiliser of natural plant or animal-derived origin. Examples include farmyard manure (FYM), poultry manure, humic acid, fulvic acid, compost, compost tea, vermicompost, crop residue, by-products, peat and slurry.</t>
  </si>
  <si>
    <t>Fertiliser, synthetic</t>
  </si>
  <si>
    <t>Synthetic (inorganic)</t>
  </si>
  <si>
    <t>A synthetic (inorganic) fertiliser. They are typically derived from chemical raw materials or processes and include ingredients like potassium sulfate, ammonium phosphate, superphosphate, and ammonium nitrate.</t>
  </si>
  <si>
    <t>First Aid</t>
  </si>
  <si>
    <t>The first and immediate assistance given to any person suffering from either a minor or serious illness or injury, with care provided to preserve life, prevent the condition from worsening, or to promote recovery.</t>
  </si>
  <si>
    <t>First Aid kit</t>
  </si>
  <si>
    <t>A collection of supplies and equipment that is used to give medical treatment. There is a wide variation in the contents of first aid kits based on the knowledge and experience of those putting it together, the differing first aid requirements of the area where it may be used and variations in legislation or regulation in a given area.</t>
  </si>
  <si>
    <t>Flora</t>
  </si>
  <si>
    <t>A reference to the plant species found on in a given area.</t>
  </si>
  <si>
    <t>Free, Prior and Informed Consent (FPIC)</t>
  </si>
  <si>
    <t>A specific right that pertains to indigenous peoples and is recognised in the United Nations Declaration on the Rights of Indigenous Peoples (UNDRIP). It allows them to give or withhold consent to a project that may affect them or their territories. Once they have given their consent, they can withdraw it at any stage. Furthermore, FPIC enables them to negotiate the conditions under which the project will be designed, implemented, monitored and evaluated.  This is also embedded within the universal right to self-determination.</t>
  </si>
  <si>
    <t xml:space="preserve">Forced labour </t>
  </si>
  <si>
    <t>Forest</t>
  </si>
  <si>
    <t>An area of land dominated by trees. See High Carbon Stock and High Conservation Value.</t>
  </si>
  <si>
    <t>Forest, agroforestry</t>
  </si>
  <si>
    <t>Agroforestry</t>
  </si>
  <si>
    <t>Agroforestry is a land use management system in which trees or shrubs are grown around or among crops or pastureland.</t>
  </si>
  <si>
    <t>Forest, primary</t>
  </si>
  <si>
    <t>Primary forest</t>
  </si>
  <si>
    <t>A forest that has attained great age without significant disturbance and thereby exhibits unique ecological features and might be classified as being in an equilibrium state or climax community.</t>
  </si>
  <si>
    <t>Forest, secondary</t>
  </si>
  <si>
    <t>Secondary forest</t>
  </si>
  <si>
    <t>Unlike a primary forest, a secondary forest has undergone timber harvest, but a long enough period has passed so that the effects of the disturbance are no longer evident.</t>
  </si>
  <si>
    <t>Fuel storage units</t>
  </si>
  <si>
    <t>Fuel storage tanks</t>
  </si>
  <si>
    <t xml:space="preserve">Containers used to hold fuel. </t>
  </si>
  <si>
    <t>Genetically Modified Organism (GMO)</t>
  </si>
  <si>
    <t>Transgenic</t>
  </si>
  <si>
    <t>A plant or other organism whose genetic makeup has been modified by using genetic engineering or transgenic technology. This creates combinations of genes that do not occur in nature or could not be achieved via traditional crossbreeding methods.</t>
  </si>
  <si>
    <t>Grassland</t>
  </si>
  <si>
    <t>An area dominated by grass.</t>
  </si>
  <si>
    <t>Grassland, pasture</t>
  </si>
  <si>
    <t>Pastureland</t>
  </si>
  <si>
    <t>Grassland designated for livestock grazing.</t>
  </si>
  <si>
    <t>Greenhouse Gases (GHGs)</t>
  </si>
  <si>
    <t>Gases known to contributing to the greenhouse effect (global warming). See carbon dioxide, nitrous oxide, methane and refrigerants.</t>
  </si>
  <si>
    <t>Grievance mechanism</t>
  </si>
  <si>
    <t xml:space="preserve">Every worker should have the right to submit a grievance without suffering any prejudice whatsoever as a result. Any grievances submitted should be examined via an effective procedure which is open to all workers. All workers should have access to grievance mechanisms that allow them to voice concerns without fear of punishment or retribution. </t>
  </si>
  <si>
    <t>See cover crop.</t>
  </si>
  <si>
    <t>Habitat</t>
  </si>
  <si>
    <t xml:space="preserve">It is a place or type of site where a species population naturally occurs. </t>
  </si>
  <si>
    <t>Habitat, corridors</t>
  </si>
  <si>
    <t>Corridors</t>
  </si>
  <si>
    <t>An area of habitat connecting wildlife populations separated by human activities or structures. This allows an exchange of individuals between populations, which may help prevent the negative effects on inbreeding and reduced genetic diversity that often occur within isolated populations.</t>
  </si>
  <si>
    <t>Habitat, degradation</t>
  </si>
  <si>
    <t>Degradation</t>
  </si>
  <si>
    <t>Impact of farming operations that make habitats less suitable or less available to certain species.</t>
  </si>
  <si>
    <t>Habitat, natural</t>
  </si>
  <si>
    <t>Natural</t>
  </si>
  <si>
    <t>The natural environment in which a species or group of species lives.</t>
  </si>
  <si>
    <t>Habitat, restoration</t>
  </si>
  <si>
    <t>Restoration</t>
  </si>
  <si>
    <t>The process of restoring native flora and fauna to degraded habitats.</t>
  </si>
  <si>
    <t>Hardening</t>
  </si>
  <si>
    <t xml:space="preserve">See nursery. </t>
  </si>
  <si>
    <t>Hazardous substance</t>
  </si>
  <si>
    <t>A hazardous substance refers to any material that has the intrinsic nature of being toxic, explosive, prone to ignite, radioactive, corrosive or otherwise detrimental to people or the environment.</t>
  </si>
  <si>
    <t>Hazardous work</t>
  </si>
  <si>
    <t xml:space="preserve">See work. </t>
  </si>
  <si>
    <t>High Carbon Stock (HCS)</t>
  </si>
  <si>
    <t>HCS are areas of land with high carbon value. These include  High Density Forest,  Medium Density Forest , Low Density Forest and Young Regenerating Forest, but also includes wetlands, mangroves, grasslands and peatlands.</t>
  </si>
  <si>
    <t xml:space="preserve">High Conservation Value </t>
  </si>
  <si>
    <t>HCV</t>
  </si>
  <si>
    <t>HCV areas are biological, ecological, social or cultural values which are considered outstandingly significant or critically important, at the national, regional or global level:</t>
  </si>
  <si>
    <t>High Conservation Value (HCV1)</t>
  </si>
  <si>
    <t>HCV1: Concentrations of biological diversity including endemic species, and rare, threatened or endangered species, that are significant at global, regional or national levels;</t>
  </si>
  <si>
    <t>High Conservation Value (HCV2)</t>
  </si>
  <si>
    <t>HCV2: Intact forest landscapes and large landscape-level ecosystems and ecosystem mosaics that are significant at global, regional or national levels, and that contain viable populations of the great majority of the naturally occurring species in natural patterns of distribution and abundance;</t>
  </si>
  <si>
    <t>High Conservation Value (HCV3)</t>
  </si>
  <si>
    <t>HCV3: Rare, threatened, or endangered ecosystems, habitats or refugia;</t>
  </si>
  <si>
    <t>High Conservation Value (HCV4)</t>
  </si>
  <si>
    <t>HCV4: Basic ecosystem services in critical situations, including protection of water catchments and control of erosion of vulnerable soils and slopes;</t>
  </si>
  <si>
    <t>High Conservation Value (HCV5)</t>
  </si>
  <si>
    <t>HCV5: Sites and resources fundamental for satisfying the basic necessities of local communities or indigenous peoples (for livelihoods, health, nutrition, water, etc.), identified through engagement with these communities or indigenous peoples; or</t>
  </si>
  <si>
    <t>High Conservation Value (HCV6)</t>
  </si>
  <si>
    <t>HCV6: Sites, resources, habitats and landscapes of global or national cultural, archaeological or historical significance, and/or of critical cultural, ecological, economic or religious/sacred importance for the traditional cultures of local communities or indigenous peoples, identified through engagement with local communities and indigenous peoples.</t>
  </si>
  <si>
    <t>Hygiene</t>
  </si>
  <si>
    <t>Personal hygiene</t>
  </si>
  <si>
    <t>Hygiene refers to conditions and practices that help to maintain health and prevent the spread of diseases. Personal hygiene refers to maintaining the body's cleanliness, particularly in context of food safety.</t>
  </si>
  <si>
    <t>Iconic species</t>
  </si>
  <si>
    <t>Industry guidelines</t>
  </si>
  <si>
    <t>Industry standards</t>
  </si>
  <si>
    <t>Rules or procedures followed by most members of an industry. They make lack legal status, but may represent a potential trade barrier if not applied.</t>
  </si>
  <si>
    <t>Integrated Pest Management (IPM)</t>
  </si>
  <si>
    <t>An ecosystem approach to crop production and protection that combines different management strategies and practices to grow healthy crops and minimise the use of pesticides. Priority is given to physical, cultural and biological control measures. Chemical measures are adopted as a last resort.</t>
  </si>
  <si>
    <t>Integrated Waste Management (WPM)</t>
  </si>
  <si>
    <t>Combines the principles of waste reduction and waste management. It involves the adoption of 1) waste prevention, 2) waste reduction, 3) waste recycling, including composting in the case of farming systems, 4) other recovery, i.e. animal feed, anaerobic digestion, and – as a last resort, 5) disposal.</t>
  </si>
  <si>
    <t>Intensive farming</t>
  </si>
  <si>
    <t>Determined by two general processes: (1) reduced diversity of crops under production, and (2) accompanied with changes in management practices and intensity of production, including higher chemical loading, mechanisation and irrigation demands.</t>
  </si>
  <si>
    <t>International Labour Organization (ILO)</t>
  </si>
  <si>
    <t>The ILO is a United Nations agency whose mandate is to advance social and economic justice through setting international labour standards.</t>
  </si>
  <si>
    <t>International conventions</t>
  </si>
  <si>
    <t>International conventions are treaties or agreements between countries. This applies to many working conditions.</t>
  </si>
  <si>
    <t>Invasive species</t>
  </si>
  <si>
    <t>Alien species</t>
  </si>
  <si>
    <t xml:space="preserve">See species. </t>
  </si>
  <si>
    <t>Irrigation</t>
  </si>
  <si>
    <t>The artificial application of water on land to aid crop production.</t>
  </si>
  <si>
    <t>Irrigation, flood</t>
  </si>
  <si>
    <t>Flood irrigation</t>
  </si>
  <si>
    <t>A form of surface irrigation that involves saturating the plot of land.</t>
  </si>
  <si>
    <t>Irrigation, micro</t>
  </si>
  <si>
    <t>Micro irrigation</t>
  </si>
  <si>
    <t xml:space="preserve">A measured form of irrigation characterised by 1) water applied at low discharge rates, 2) continuous water flow over long periods, 3) low pressure, and 4) application of water within the crop root zone only. Examples include drip, trickle and sub-surface. </t>
  </si>
  <si>
    <t>Irrigation, sub-surface</t>
  </si>
  <si>
    <t>Sub-surface irrigation</t>
  </si>
  <si>
    <t>A form of micro irrigation where irrigation is delivered via buried plastic tubes containing embedded emitters located at regular spacings.</t>
  </si>
  <si>
    <t>Irrigation, surface</t>
  </si>
  <si>
    <t>Surface irrigation</t>
  </si>
  <si>
    <t>Water is applied and distributed over the soil surface by the help of gravity. Examples include basin, furrow and flood irrigation.</t>
  </si>
  <si>
    <t>Irrigation, overhead</t>
  </si>
  <si>
    <t xml:space="preserve">Overhead irrigation </t>
  </si>
  <si>
    <t>Not to be confused with surface irrigation, overhead irrigation is typically some form of sprinkler system. Pressure can be medium to high, but typically requires application of water outside of the crop root zone.</t>
  </si>
  <si>
    <t xml:space="preserve">Labour </t>
  </si>
  <si>
    <t xml:space="preserve">The body of individuals engaged in production activities. This may involve both paid and unpaid work. </t>
  </si>
  <si>
    <t>Labour, forced</t>
  </si>
  <si>
    <t>Forced (bonded)</t>
  </si>
  <si>
    <t>Work that is performed involuntarily and under the menace of any penalty. It refers to situations in which persons are coerced to work through the use of violence or intimidation, or by more subtle means such as manipulated debt, retention of identity papers or threats of denunciation to immigration authorities.</t>
  </si>
  <si>
    <t>Legal reserve</t>
  </si>
  <si>
    <t>A legal designation of land managed by a recognised indigenous tribe or first nations people.</t>
  </si>
  <si>
    <t>Legal reserve, natural</t>
  </si>
  <si>
    <t>Nature reserve,         Natural reserve</t>
  </si>
  <si>
    <t>A legal designation of land for the preservation of natural capital or resources.</t>
  </si>
  <si>
    <t>Leguminous</t>
  </si>
  <si>
    <t>Nitrogen fixing</t>
  </si>
  <si>
    <t>Crops like alfalfa, beans, peas, pulses, lupins and groundnut, characterised by the presence of symbiotic bacteria called rhizobia within nodules in their root systems. These crops are capable of producing nitrogen compounds that help the plant to grow and compete with other plants. When the plant dies, the fixed nitrogen is released, making it available to other plants and this helps to fertilise the soil.</t>
  </si>
  <si>
    <t>Licensed source</t>
  </si>
  <si>
    <t>Registered source</t>
  </si>
  <si>
    <t>An authorised or registered individual or organisation licensed to trade certain products, particularly plant protection products.</t>
  </si>
  <si>
    <t>Life Cycle Assessment (LCA)</t>
  </si>
  <si>
    <t>Life Cycle Analysis (LCA)</t>
  </si>
  <si>
    <t>A method to calculate the environmental impact of a product and its services over its entire life-cycle.</t>
  </si>
  <si>
    <t>Mangrove</t>
  </si>
  <si>
    <t>Tropical or subtropical vegetation that grows in coastal saline or brackish water. It is prized for its high biodiversity and protection offered to riverine communities from climate change.</t>
  </si>
  <si>
    <t>Material Safety Data Sheet (MSDS)</t>
  </si>
  <si>
    <t>A document that lists information relating to occupational safety and health for the use of various substances and products. It is typically provided by the manufacturer of various substances and products, particularly hazardous substances.</t>
  </si>
  <si>
    <t>Maternity leave</t>
  </si>
  <si>
    <t>Parental leave, paternity leave</t>
  </si>
  <si>
    <t>The right or women or their partners to take paid or unpaid leave to prepare for labour or provide support for their new-born child shortly after birth.</t>
  </si>
  <si>
    <t>Medical screening</t>
  </si>
  <si>
    <t>A strategy used to look for as-yet-unrecognised conditions or risk markers. This testing can be applied to the general workforce or confined to workers performing high risk activities.</t>
  </si>
  <si>
    <t>Methane (CH4)</t>
  </si>
  <si>
    <t>CO2 is the reference gas used for determining Global Warming Potential (GWP), i.e. one unit of CO2 = the equivalent of one unit of CO2 (expressed at CO2-eq) over a 100 year period. The GWP of CH4 is x25 CO2-eq. Methane production in crop farming is mainly associated with rice production. It is more commonly associated with ruminant livestock (cattle, sheep and goats).</t>
  </si>
  <si>
    <t>Mixed cropping system</t>
  </si>
  <si>
    <t>The process of growing two or more crops on the same piece of land at the same time, and by some definitions, in close proximity to or alternative rows with other crops. Examples include alley cropping, agroforestry, intercropping and row cropping.</t>
  </si>
  <si>
    <t>Minor</t>
  </si>
  <si>
    <t>Moisture</t>
  </si>
  <si>
    <t xml:space="preserve">See soil moisture. </t>
  </si>
  <si>
    <t>Mulch</t>
  </si>
  <si>
    <t>A layer of material applied to the surface of the soil. This can be an organic mulch, typically constituting of organic matter such as manure or compost, or plastic sheeting.</t>
  </si>
  <si>
    <t>Natural Buffer Zone (NBZ)</t>
  </si>
  <si>
    <t>Buffer strips</t>
  </si>
  <si>
    <t>Areas stablished around sensitive or protected areas, such as natural habitats, streams, and wetlands, to lessen the impacts of human activity and land disturbance. Also a transition zone between areas managed for different objectives.</t>
  </si>
  <si>
    <t>Nitrogen (N)</t>
  </si>
  <si>
    <t>Nitrogen is the most important nutrient for crop production.</t>
  </si>
  <si>
    <t>Nitrogen nitrate (N)</t>
  </si>
  <si>
    <t>Nitrate (NO3)</t>
  </si>
  <si>
    <t>A form of fertiliser, but can also be the breakdown of other nitrogen fertilisers. Nitrates can easily enter groundwater directly or indirectly via runoff into watercourses. It is a major pollutant of water.</t>
  </si>
  <si>
    <t>Nitrogen Use Efficiency (NUE)</t>
  </si>
  <si>
    <t>NUE is defined as the ratio of the crop nitrogen uptake to the total input of nitrogen fertiliser. It can also be defined more broadly as the ratio of crop nitrogen uptake, to available soil N which would include applied fertiliser N plus residual mineral N in the soil. In a biological context it is worth considering the mean residence time of the N in the plant, i.e. the period during which the absorbed N can be used for C-fixation; and the instantaneous rate of C-fixation per unit of N in the plant. Several models exist with the aim to optimise the use of N-based fertiliser. Insufficient levels may result in low yield. Excess levels may result in greater nitrate and nitrous oxide release to the environment.</t>
  </si>
  <si>
    <t>Nitrogen, Nitrous oxide (N20)</t>
  </si>
  <si>
    <t>Nitrous oxide (N20)</t>
  </si>
  <si>
    <t>CO2 is the reference gas used for determining Global Warming Potential (GWP), i.e. one unit of CO2 = the equivalent of one unit of CO2 (expressed at CO2-eq) over a 100 year period. The GWP of N20 is x298 CO2-eq. Nitrous oxide production is primarily a function of the use of synthetic fertiliser under intensive farming systems. Due to its significant GWP, it is a main focus area for carbon reduction in agricultural production.</t>
  </si>
  <si>
    <t>Nutrients</t>
  </si>
  <si>
    <t>These are essential elements required by the crop to survive, grow and reach full potential.</t>
  </si>
  <si>
    <t>Nutrients, base ratio</t>
  </si>
  <si>
    <t>Base ratio,                                Base Cation Saturation Ratio (BCSR)</t>
  </si>
  <si>
    <t>Traditional soil management aims to keep nutrients within a desired range for specific crops. BCSR calls on key nutrients to also be in a certain ratio as part of a wider soil health programme. Main focus is on calcium, magnesium, potassium and sodium but can be applied to others.</t>
  </si>
  <si>
    <t>Nutrients, macro</t>
  </si>
  <si>
    <t>Macronutrients</t>
  </si>
  <si>
    <t>This includes Nitrogen (N), Phosphorus (P), Potassium (K) and Sulfur (S).</t>
  </si>
  <si>
    <t>Nutrients, micro</t>
  </si>
  <si>
    <t>Micronutrients</t>
  </si>
  <si>
    <t>This includes Boron (B), Calcium (Ca), Chlorine (Cl), Copper (Cu), Iron (Fe), Magnesium (Mg), Manganese (Mn), Molybdenum (Mo), and Zinc (Zn).</t>
  </si>
  <si>
    <t>Nursery</t>
  </si>
  <si>
    <t>A designated place where plants are propagated and grown to a desired age. This may be for initial hardening before transfer to an open field or may involve a closed production system up to the point of harvest, i.e. greenhouse production.</t>
  </si>
  <si>
    <t>Nursery, Primary hardening</t>
  </si>
  <si>
    <t>Primary hardening</t>
  </si>
  <si>
    <t>The initial phase of growth, associated with greater protection due to the vulnerability and susceptibility of young plants.</t>
  </si>
  <si>
    <t>Nursery, Secondary hardening</t>
  </si>
  <si>
    <t>Secondary hardening</t>
  </si>
  <si>
    <t>The final phase of growth before transfer to open field. This may or may not be a separate location to primary hardening, but is usually associated with greater exposure to the elements in preparation for transfer to the open field.</t>
  </si>
  <si>
    <t>Organic matter</t>
  </si>
  <si>
    <t xml:space="preserve">See soil. </t>
  </si>
  <si>
    <t xml:space="preserve">Overtime </t>
  </si>
  <si>
    <t>Paid leave</t>
  </si>
  <si>
    <t>Paid vacation</t>
  </si>
  <si>
    <t>The annual period during which workers take time away from their work while continuing to receive an income and to be entitled to social protection.</t>
  </si>
  <si>
    <t>Peat</t>
  </si>
  <si>
    <t>Peatland</t>
  </si>
  <si>
    <t>Peatlands are terrestrial wetland ecosystems in which waterlogged conditions prevent plant material from fully decomposing. Consequently, the production of organic matter exceeds its decomposition, which results in a net accumulation of peat. In terms of soil structure, peat is classified as having greater than 50% soil organic content. Mires and peatlands are specific types of interrelated wetland with the unique potential to accumulate dead organic matter as peat, often to considerable thickness. Mires and peatlands are specific types of interrelated wetland with the unique potential to accumulate dead organic matter as peat, often to considerable thickness. Peatlands are highly valued for their ability to retain moisture and act as a major carbon sink. Due to this moisture retention capacity, peat is favoured in nursery production. However, any unsustainable extraction of peat can have an adverse impact on climate change.</t>
  </si>
  <si>
    <t>See hygiene.</t>
  </si>
  <si>
    <t>Personal Protective Equipment (PPE)</t>
  </si>
  <si>
    <t>Protective clothing</t>
  </si>
  <si>
    <t>The wearing of protecting clothing, which may or may not include an overall, goggles, helmet, face mask, ear plugs, glove and boots, to protect the individual from injury or infection. A risk-assessed approach to hazards and activities is required to determine the appropriate selection and scope of PPE to be worn.</t>
  </si>
  <si>
    <t>Pesticides</t>
  </si>
  <si>
    <t>A general term to refer to any substance, or mixture of substances of chemical or biological ingredients intended for repelling, destroying or controlling any pest, or regulating plant growth. See plant protection products.</t>
  </si>
  <si>
    <t>Pesticides, drift</t>
  </si>
  <si>
    <t>Drift, spray drift</t>
  </si>
  <si>
    <t>Pesticides applied to unintentional areas, typically carried by prevailing wind.</t>
  </si>
  <si>
    <t>Plant Protection Products</t>
  </si>
  <si>
    <t xml:space="preserve"> PPPs, Chemicals, Pesticides</t>
  </si>
  <si>
    <t>PPPs are specific pesticides that protect crops or are desirable or useful plants. They contain at least one active substance and have one of the following functions:
·        Protect plants or plant products against pests/diseases, before or after harvest, i.e. insecticides, fungicides, rodenticides, acaricides, avicides and molluscicides
·        Influence the life processes of plants, i.e. plant growth regulators
·        Preserve plant products, i.e. disinfectants, postharvest fungicides
·        Destroy or prevent growth of undesired plants or parts of plants, i.e. herbicides</t>
  </si>
  <si>
    <t>Plant Protection Products, organic</t>
  </si>
  <si>
    <t>PPPs from natural origin. They may or may not be approved for organic farming.</t>
  </si>
  <si>
    <t>Plant Protection Products, synthetic</t>
  </si>
  <si>
    <t>Synthetic</t>
  </si>
  <si>
    <t>Man-made (synthetic) PPPs.</t>
  </si>
  <si>
    <t>Planting density</t>
  </si>
  <si>
    <t xml:space="preserve">The concentration of seeds or plants per unit area. </t>
  </si>
  <si>
    <t>Planting density, extensification</t>
  </si>
  <si>
    <t>Increasing productivity by expanding area under production. Requires new land area to be brought into production. Not to be confused with extensive farming.</t>
  </si>
  <si>
    <t>Planting density, intensification</t>
  </si>
  <si>
    <t>Intensification</t>
  </si>
  <si>
    <t>Increasing productivity by planting more seeds or plants per unit area. Needs to be accompanied with more farm inputs. See intensive farming.</t>
  </si>
  <si>
    <t>Postharvest</t>
  </si>
  <si>
    <t>The handling stage of the product immediately following harvest, including transfer to a designate site for any of the following: cooling, cleaning, sorting and packing.</t>
  </si>
  <si>
    <t>Postharvest losses</t>
  </si>
  <si>
    <t xml:space="preserve">Qualitative or quantitative loss or shrinkage in value or weight between harvest and marketing. Main focus may be on-farm losses and losses associated with distribution to the first handling site. </t>
  </si>
  <si>
    <t>Postharvest management</t>
  </si>
  <si>
    <t>The handling, storing and transporting of products after harvest, designed to minimise postharvest losses.</t>
  </si>
  <si>
    <t>Potable water</t>
  </si>
  <si>
    <t>Drinkable water</t>
  </si>
  <si>
    <t>See water.</t>
  </si>
  <si>
    <t>Precipitation</t>
  </si>
  <si>
    <t>Rain, rainwater</t>
  </si>
  <si>
    <t>Water that falls from clouds primarily in the form or rain, but also includes hail, sleet or snow.</t>
  </si>
  <si>
    <t>Pre-Harvest Interval (PHI)</t>
  </si>
  <si>
    <t>The minimum amount of time between the last application of a pesticide and when the crop can be harvested.
See PPP product label for PHI information.
Depending on the PHI, the earliest harvest may not necessarily be determined by the final spray application. For example:
1.      Product A applied on 01 April with PHI or 21 days.
2.      Product B applied on 04 April with PHI of 14 days.
3.      Product C applied on 21 April with PHI of 0 days.
The earliest harvest is the time of application + PHI. So, for A) 22 April, B) 18 April, and C) 21 April. 
Therefore, the earliest harvest opportunity is 22 April based on product A.</t>
  </si>
  <si>
    <t>Preventative maintenance</t>
  </si>
  <si>
    <t>The care and servicing by personnel for the purpose of maintaining equipment in satisfactory operating condition by providing for systematic inspection, detection, and correction of incipient failures either before they occur or before they develop into major defects. The work carried out on equipment in order to avoid its breakdown or malfunction. It is a regular and routine action taken on equipment in order to prevent its breakdown. Maintenance, including tests, measurements, adjustments, parts replacement, and cleaning, performed specifically to prevent faults from occurring.</t>
  </si>
  <si>
    <t>Product</t>
  </si>
  <si>
    <t>A harvested crop.</t>
  </si>
  <si>
    <t>Product, by-product</t>
  </si>
  <si>
    <t>Any part of the product that remains or is generated as a subsequence of a process required to prepare the principal product. Examples include husks of cereal grains. It also applies to by-products from secondary production, i.e. milling of grains, processing of fruit juices. Secondary processing is out of scope unless it takes place on the farm.</t>
  </si>
  <si>
    <t>Propagation material</t>
  </si>
  <si>
    <t>Graft, seed, spore, vegetative</t>
  </si>
  <si>
    <t>Any generative part of the plant, such as seeds, spore and vegetative (cuttings, roots, fruits, tubers, bulbs, rhizomes, meristem tissue and other parts of plants). They are used for the reproduction of the plant.</t>
  </si>
  <si>
    <t>Qualified advisor</t>
  </si>
  <si>
    <t>Consultant</t>
  </si>
  <si>
    <t>A trained and/or experienced individual either certified by an official body or recognised by the industry to provide advice in their area of competency.</t>
  </si>
  <si>
    <t>Rain</t>
  </si>
  <si>
    <t>Rainwater</t>
  </si>
  <si>
    <t xml:space="preserve">See precipitation. </t>
  </si>
  <si>
    <t>Rain, rainfed</t>
  </si>
  <si>
    <t>Rainfed</t>
  </si>
  <si>
    <t>A crop that relies solely on precipitation to meet its crop water requirements. See water.</t>
  </si>
  <si>
    <t>Rainwater harvesting</t>
  </si>
  <si>
    <t>Run-off farming</t>
  </si>
  <si>
    <t xml:space="preserve">The collection and storage of rainwater (typically from structures) or run-off water before it leaves the land. </t>
  </si>
  <si>
    <t>Rare species</t>
  </si>
  <si>
    <t>Rate of application</t>
  </si>
  <si>
    <t>The amount of water, fertiliser, plant protection product or other farm input applied on a unit of area. It may be expressed by weight or volume per unit area.</t>
  </si>
  <si>
    <t>Recruitment agency</t>
  </si>
  <si>
    <t>A contractor recruiting and providing agricultural labour for farm operations. Where applicable, recruitment agencies should be licensed by an authorised body.</t>
  </si>
  <si>
    <t>Recruitment fee</t>
  </si>
  <si>
    <t xml:space="preserve">A fee or commission to cover the recruitment process. </t>
  </si>
  <si>
    <t>Restricted Entry Interval (REI)</t>
  </si>
  <si>
    <t>Re-entry time</t>
  </si>
  <si>
    <t>The minimum time, often quoted in hours or days, between a chemical spray application within a plot and the re-entry time permitted for workers, contractors or visitors to the respective plot. Typically, the more toxic the PPP, the longer the REI.</t>
  </si>
  <si>
    <t>Refrigerants</t>
  </si>
  <si>
    <t>Chemicals used for cooling produce. There are many known refrigerants, all are associated with greenhouse gases. Refrigerants typically have x1,000s the GWP CO2-eq.</t>
  </si>
  <si>
    <t>Relevant legislation</t>
  </si>
  <si>
    <t>Local, national and/or international legislation that applies to a respective activity or area.</t>
  </si>
  <si>
    <t>Resilience</t>
  </si>
  <si>
    <t>Ability to withstand and recover from biophysical or socio-political shocks.</t>
  </si>
  <si>
    <t>Rootstock</t>
  </si>
  <si>
    <t>A rootstock is part of a plant, often an underground part, from which new above-ground growth can be produced. It is not uncommon for perennials to have a rootstock different from the variety commercial grown. Rootstocks are selected based on soil and climate and their resistance to certain types of pest or disease.</t>
  </si>
  <si>
    <t>Root zone</t>
  </si>
  <si>
    <t xml:space="preserve">The area of soil and pores surrounding the root structure. </t>
  </si>
  <si>
    <t>Root zone, depth</t>
  </si>
  <si>
    <t>This is the depth within the soil profile that the crop root can effectively extract water and nutrients for growth.</t>
  </si>
  <si>
    <t>Run-off</t>
  </si>
  <si>
    <t>Surface run-off</t>
  </si>
  <si>
    <t>The flow of water occurring on the ground surface when excess rainwater, stormwater, meltwater, or other sources, can no longer sufficiently infiltrate in the soil at a rate faster than water enters the land. Run-off may carry pesticides, fertilisers and topsoil.</t>
  </si>
  <si>
    <t>Salinity</t>
  </si>
  <si>
    <t>See electroconductivity.</t>
  </si>
  <si>
    <t>Sanitation</t>
  </si>
  <si>
    <t>Water, Sanitation &amp; Hygiene (WASH)</t>
  </si>
  <si>
    <t>Covers potable water, toilet and handwashing facilities.</t>
  </si>
  <si>
    <t>Seed</t>
  </si>
  <si>
    <t>See propagation material.</t>
  </si>
  <si>
    <t>Seed rate</t>
  </si>
  <si>
    <t>See planting density.</t>
  </si>
  <si>
    <t>Sewage</t>
  </si>
  <si>
    <t>See blackwater.</t>
  </si>
  <si>
    <t>Sick leave</t>
  </si>
  <si>
    <t>Right of leave from work due to sickness and cash benefits that replace the wage during the time of leave due to sickness.</t>
  </si>
  <si>
    <t>Sludge</t>
  </si>
  <si>
    <t>Sludge is a semi-solid slurry that can be produced from a water treatment, wastewater treatment or on-site sanitation systems. For example, it can be produced as a settled suspension obtained from conventional drinking water treatment</t>
  </si>
  <si>
    <t>Sewage sludge</t>
  </si>
  <si>
    <t>Faecal sludge</t>
  </si>
  <si>
    <t>A form of slurry obtained from pit latrines and aseptic tanks.</t>
  </si>
  <si>
    <t>Slurry</t>
  </si>
  <si>
    <t>A watery mixture of particles suspended in water. See sludge.</t>
  </si>
  <si>
    <t>Slurry, manure</t>
  </si>
  <si>
    <t>Manure</t>
  </si>
  <si>
    <t>A slurry made up of farmyard or poultry manure, mixed with water.</t>
  </si>
  <si>
    <t>Soil</t>
  </si>
  <si>
    <t>Ground, earth</t>
  </si>
  <si>
    <t>Compromises of organic matter, mineral content and pores to accommodate air and water. It provides a habitat for soil organisms. Some of its primary functions include:
·        An anchor for a crop,
·        A means for plant growth.</t>
  </si>
  <si>
    <t>Soil amendments</t>
  </si>
  <si>
    <t>Minerals used to improve soil fertility. Examples include gypsum for improved aeration and lime and sulfur for pH optimisation. Certain essential nutrients my be applied to optimise the base ratio.
Amendments can apply to organic amendments, but for the sake of clarity, these are covered by biological soil health. See soil organic matter.</t>
  </si>
  <si>
    <t>Soil compaction</t>
  </si>
  <si>
    <t>Soil compaction is a common term related to soil density. As a soil becomes more compact, its pore space is reduced, allowing less room for water and air. This is indicated by a greater bulk density and reduces available water and air.
The risk of soil compaction is greater with heavy operations on high clay content and also high moisture content.</t>
  </si>
  <si>
    <t>Soil health</t>
  </si>
  <si>
    <t>Soil health is the capacity of soil to function as a living system, with ecosystem and land use boundaries, to sustain plant and animal productivity, maintain or enhance water and air quality, and promote plant and animal health. Healthy soils maintain a diverse community of soil organisms that help to control plant disease, insect and weed pests, form beneficial symbiotic associations with plant roots; recycle essential plant nutrients; improve soil structure with positive repercussions for soil water and nutrient holding capacity, and ultimately improve crop production. A healthy soil does not pollute its environment and does contribute to mitigating climate change by maintaining or increasing its carbon content. Soil health can be defined as a three-pillared management of the physical, chemical and biological soil aspects.</t>
  </si>
  <si>
    <t>Soil Organic Carbon (SOC)</t>
  </si>
  <si>
    <t>SOC is used to estimate organic matter levels. Organic matter is about 60% carbon.</t>
  </si>
  <si>
    <t>Soil Organic Matter (SOM)</t>
  </si>
  <si>
    <t xml:space="preserve">The SOM refers to organic material that is living, or once living, and applies to organic matter present in or added to the soil in the form of mulch or compost. See fertiliser.  </t>
  </si>
  <si>
    <t>Soil moisture</t>
  </si>
  <si>
    <t>The amount of water contained in the soil pores. Saturated soils are where the pores are 100% occupied by water, leaving no space for air in the crop root zone. Soil moisture content is expressed as a percentage of water mass over dry mass of the soil.</t>
  </si>
  <si>
    <t>Soil profile, soil horizon</t>
  </si>
  <si>
    <t>The soil horizon is a layer parallel to the soil surface whose physical, chemical and biological characteristics differ from the layers above and beneath.</t>
  </si>
  <si>
    <t>Soil substrate (medium)</t>
  </si>
  <si>
    <t>The medium in which a crop can grow. It typically refers to nursery production, where imported substrates such as peat, coconut coir, rockwool and other materials are used.</t>
  </si>
  <si>
    <t>Soil, topsoil</t>
  </si>
  <si>
    <t xml:space="preserve">The upper, outermost layer of soil with the highest concentration of organic matter and microorganisms and is where most of the Earth's biological soil activity occurs. </t>
  </si>
  <si>
    <t>Soil erosion</t>
  </si>
  <si>
    <t>The displacement of topsoil, resulting in a loss of fertility.</t>
  </si>
  <si>
    <t>Soil erosion, airborne</t>
  </si>
  <si>
    <t>Airborne erosion</t>
  </si>
  <si>
    <t>Topsoil displaced by wind. Accelerated with poor ground cover, overworked soil and lack of windbreaks.</t>
  </si>
  <si>
    <t>Soil erosion, waterborne</t>
  </si>
  <si>
    <t>Waterborne erosion</t>
  </si>
  <si>
    <t>Topsoil displaced by water.  Accelerated with poor surface drainage, poor ground cover and steep slope (gradient) of land.</t>
  </si>
  <si>
    <t>Species</t>
  </si>
  <si>
    <t>A group of organisms capable of interbreeding freely with each other but not with members of other species, typically resulting in offspring.</t>
  </si>
  <si>
    <t>Species, alien</t>
  </si>
  <si>
    <t>A species introduced outside its natural past or present distribution, that might survive and subsequently reproduce.</t>
  </si>
  <si>
    <t>Species, beneficial</t>
  </si>
  <si>
    <t>A series of species that provide ecosystem services  Some insects, for example, have beneficial roles for nature:
·        Plant reproduction (pollinators), 
·        Waste biodegradation (decomposers), and
·        Control of harmful pests (natural predators).
Other benefits include edible insect species in nutrition, insect valuable products (silk, honey) and biomimicry among others.</t>
  </si>
  <si>
    <t>Species, endangered</t>
  </si>
  <si>
    <t>An organism that is threatened by extinction due to loss of habitat or loss of genetic variation. Species designated as endangered by national laws or classification systems or listed as endangered or critically endangered by the Appendices I, II, or III of the Convention on International Trade in Endangered Species of Wild Fauna and Flora.</t>
  </si>
  <si>
    <t>Species, iconic</t>
  </si>
  <si>
    <t>Flora or fauna which are important to cultural identity as shown by their involvement in traditional activities such as local ethnic or religious practices and/or which are locally or more broadly recognised for their existence/aesthetic values.</t>
  </si>
  <si>
    <t>Species, invasive</t>
  </si>
  <si>
    <t>An introduced organism that negatively alters its new environment. Although their spread can have beneficial aspects, invasive species adversely affect the invaded habitats, causing environmental and economic damage.</t>
  </si>
  <si>
    <t>Species, rare</t>
  </si>
  <si>
    <t>A rare species is a group of organisms that are very uncommon, scarce, or infrequently encountered. This designation is distinct from the term endangered or threatened.</t>
  </si>
  <si>
    <t>Species, threatened</t>
  </si>
  <si>
    <t>Threatened species</t>
  </si>
  <si>
    <t>Any species which is vulnerable to endangerment in the near future. Species designated as threatened by national laws or classification systems or listed as endangered or critically endangered by the IUCN Red List of Threatened Species.</t>
  </si>
  <si>
    <t>Species, wild</t>
  </si>
  <si>
    <t>Wild species</t>
  </si>
  <si>
    <t>Any species captive or living in the wild that has not been subject to breeding to alter it from its native state.</t>
  </si>
  <si>
    <t>Spray handler</t>
  </si>
  <si>
    <t>A worker who handles, mixes or applies any product, including hazardous substances.</t>
  </si>
  <si>
    <t>Spray operator</t>
  </si>
  <si>
    <t>A worker who manually or mechanically applies any product, including hazardous substances.</t>
  </si>
  <si>
    <t>Sustainable source</t>
  </si>
  <si>
    <t>A farm input procured from a sustainably-sourced supplier of goods or services. Typically certified to a recognised standard, i.e. Forestry Stewardship Council (FSC) for wood.</t>
  </si>
  <si>
    <t>Tillage</t>
  </si>
  <si>
    <t>Preparation of soil by mechanical agitation, such as digging, lifting and overturning. This can involve the use of manual tools or animal or mechanically-drawn implements.</t>
  </si>
  <si>
    <t>Tillage, conservation</t>
  </si>
  <si>
    <t>Conservation</t>
  </si>
  <si>
    <t>Agricultural approaches aimed to minimise or avoid tilling. Biological principles, technological innovation and use of cover crops may reduce or eliminate the need for tilling.</t>
  </si>
  <si>
    <t>Title deed</t>
  </si>
  <si>
    <t>A document that states and proves someone's legal right to own a designated plot of land.</t>
  </si>
  <si>
    <t>Timing of application</t>
  </si>
  <si>
    <t>Application of farm inputs, particularly plant protection products, in relation to the harvest time.</t>
  </si>
  <si>
    <t>Time of application</t>
  </si>
  <si>
    <t>Application of farm inputs in relation to the cropping stage.</t>
  </si>
  <si>
    <t>Transgenic crops</t>
  </si>
  <si>
    <t>See Genetically Modified Organism (GMO).</t>
  </si>
  <si>
    <t>Trustworthy source</t>
  </si>
  <si>
    <t>A certified or reputable supplier of goods or services. Where applicable, this may involve a licensed source.</t>
  </si>
  <si>
    <t>Valorisation</t>
  </si>
  <si>
    <t>Monetisation</t>
  </si>
  <si>
    <t>To give or assign increasing value, typically economic, to goods or services.</t>
  </si>
  <si>
    <t>Varietal</t>
  </si>
  <si>
    <t>Of a specific variety.</t>
  </si>
  <si>
    <t>Viable</t>
  </si>
  <si>
    <t>Economically viable</t>
  </si>
  <si>
    <t>Capable of continual survival or success of a farming enterprise.</t>
  </si>
  <si>
    <t>Visitor</t>
  </si>
  <si>
    <t>Someone who visits a farm and who is not employed or contracted for any farming operations.</t>
  </si>
  <si>
    <t>Wage</t>
  </si>
  <si>
    <t>Salary</t>
  </si>
  <si>
    <t xml:space="preserve">A financial payment for labour or services usually according to contract. Based on an either a unit of time or rate of production. The frequency of pay by an employer can range from daily to monthly. </t>
  </si>
  <si>
    <t>Wage, minimum</t>
  </si>
  <si>
    <t>Minimum wage</t>
  </si>
  <si>
    <t>The lowest remuneration that employers can legally pay their employees. In the absence of legal requirements, there may be the presence of industry guidelines.</t>
  </si>
  <si>
    <t>Wage, living income</t>
  </si>
  <si>
    <t>Living income</t>
  </si>
  <si>
    <t>The net annual income required for a household in a particular place to afford a decent standard of living for all members of that household. Elements of a decent standard of living include: food, water, housing, education, healthcare, transportation, clothing, and other essential needs including provisions for unexpected events.</t>
  </si>
  <si>
    <t>Wage, living wage</t>
  </si>
  <si>
    <t>Living wage</t>
  </si>
  <si>
    <t>The remuneration received for a standard workweek by a worker in a particular place sufficient to afford a decent standard of living for the worker and her or his family. Elements of a decent standard of living include food, water, housing, education, health care, transportation, clothing, and other essential needs including provision for unexpected events.</t>
  </si>
  <si>
    <t>Wastewater</t>
  </si>
  <si>
    <t>Water</t>
  </si>
  <si>
    <t>Water used for all farming operations, including irrigation, processing, food operation and other miscellaneous operations.</t>
  </si>
  <si>
    <t>Water extraction</t>
  </si>
  <si>
    <t>Water abstraction</t>
  </si>
  <si>
    <t>Taking or removing water from a surface or groundwater body of water.</t>
  </si>
  <si>
    <t>Water, black</t>
  </si>
  <si>
    <t>Blackwater</t>
  </si>
  <si>
    <t>This is ​sewage wastewater ​flushed from sanitation facilities.  Since it was in ​contact with ​faecal matter ​containing ​potential harmful ​bacteria and ​disease-​causing ​pathogens, it cannot be ​reused without ​risking ​contamination.  ​It may require treatment before being discharged from the farm. See greywater.</t>
  </si>
  <si>
    <t>Water, blue</t>
  </si>
  <si>
    <t>Bluewater</t>
  </si>
  <si>
    <t xml:space="preserve">This is freshwater sourced from surface or ​groundwater. ​ Examples include lakes, ​streams, reservoirs and boreholes. ​This is the most precious and precarious source of water most likely to be affected by climate change.  Measures need to be taken to minimise and optimise its use, especially where the rate of withdrawal from a watershed basin or catchment area is greater than replenishment.       </t>
  </si>
  <si>
    <t>Water, CWR</t>
  </si>
  <si>
    <t>Crop water requirements (CWR)</t>
  </si>
  <si>
    <t>CWR is the depth of water needed to meet the water consumed through evapotranspiration by a disease-free crop, growing under non-restricting soil conditions, and achieving full production potential under the given growing environment.</t>
  </si>
  <si>
    <t>Water, green</t>
  </si>
  <si>
    <t>Greenwater</t>
  </si>
  <si>
    <t>This is freshwater utilised by crops from precipitation.  Optimising crop water needs from greenwater is to be encouraged to reduce reliance on bluewater sources.</t>
  </si>
  <si>
    <t>Water, grey</t>
  </si>
  <si>
    <t>Greywater (wastewater)</t>
  </si>
  <si>
    <t>This is wastewater which has not been in ​contact with ​faecal matter.  Examples include water from domestic or industrial activities, or ​polluted water ​due to ​chemicals and ​fertilisers. ​It can be ​recycled and ​reused, not for ​drinking, but ​for irrigation. ​Since it was ​not in contact ​with human ​waste, it can ​be used for ​watering crops ​and other ​plants and is ​safely ​reabsorbed into ​the ground. Consideration should be given to the quality of wastewater being discharged from the farm. It may or may not require treatment to meet wastewater quality parameters before it can be discharged.</t>
  </si>
  <si>
    <t>Water permit</t>
  </si>
  <si>
    <t>Licence, permit</t>
  </si>
  <si>
    <t>A licence or permit required to abstract (extract) water from bluewater sources.</t>
  </si>
  <si>
    <t>Water, potable</t>
  </si>
  <si>
    <t>Water that is safe to drink or used for food preparation.</t>
  </si>
  <si>
    <t>Water quality</t>
  </si>
  <si>
    <t>Water quality is defined by the application. There is potable, industrial and irrigation quality for low and high risk crops. There are also quality standards for discharged water.</t>
  </si>
  <si>
    <t>Water Use Efficiency (WUE)</t>
  </si>
  <si>
    <t>The theoretical amount of irrigation water used expressed as a percentage of the actual amount of irrigation water calculated. Other definitions exist.</t>
  </si>
  <si>
    <t>Water body</t>
  </si>
  <si>
    <t>Body of water</t>
  </si>
  <si>
    <t>Any significant accumulation of water. The term most often refers to oceans, seas, glaciers and lakes, but it includes smaller pools of water such as ponds, wetlands, or more rarely, puddles. A body of water does not have to be still or contained; rivers, streams, canals, and other geographical features where water moves from one place to another are also considered bodies of water. It applies to both natural and artificial bodies, such as reservoirs and dams.</t>
  </si>
  <si>
    <t xml:space="preserve">Watercourse </t>
  </si>
  <si>
    <t>Waterway</t>
  </si>
  <si>
    <t>A natural or artificial channel through which water flows. Examples includes brooks, streams, rivers and canals. Consideration shall also be given to ditches on farmland and seasonal watercourses.</t>
  </si>
  <si>
    <t>Watershed basin</t>
  </si>
  <si>
    <t>Catchment area</t>
  </si>
  <si>
    <t>A designated area of land where all of the water that falls on that land drains into a particular water body, such as a river or lake.</t>
  </si>
  <si>
    <t>Wetland</t>
  </si>
  <si>
    <t xml:space="preserve">A distinct ecosystem, where oxygen-free processes prevail, characterised by flooded water – whether natural or artificial, permanent or seasonal, static or flowing – that is fresh, brackish or salt by nature, including areas of marine water the depth of which at low tide does not exceed six meters. Wetlands includes areas of marsh, fen, mire, peatland, mangrove and flooded plains to name a few. </t>
  </si>
  <si>
    <t>Windbreak</t>
  </si>
  <si>
    <t>A planting typically made up of one or more rows of trees or shrubs planted in such a manner as to provide shelter from the wind and to protect soil from airborne soil erosion and minimise the risk of pesticide spray drift. They are commonly planted in trees or hedgerows around the edges of fields on farms, perpendicular to the direction of the prevailing winds. Artificial windbreaks may also be used.</t>
  </si>
  <si>
    <t>Work</t>
  </si>
  <si>
    <t>Work, hazardous</t>
  </si>
  <si>
    <t>High risk of injury or illness. Often associated with dirty, difficult and dangerous operations.</t>
  </si>
  <si>
    <t>Work, overtime</t>
  </si>
  <si>
    <t>Overtime</t>
  </si>
  <si>
    <t>Overtime is time worked in addition to hours worked during normal periods of work, and which are generally paid at higher than normal rates.</t>
  </si>
  <si>
    <t>Worker</t>
  </si>
  <si>
    <t>An employee of the organisation. This may involve both paid and unpaid work. In some context, the scope of questions may also apply to the employer.</t>
  </si>
  <si>
    <t>Worker, family</t>
  </si>
  <si>
    <t>Family worker</t>
  </si>
  <si>
    <t>The owner, tenant or immediate family members of the owner or tenant. This can include their children as long as their conditions of work do result in child labour, defined as work that deprives children of their childhood, interferes with their ability to attend regular school, and is mentally, physically, socially and morally harmful. They will also need to comply to the restrictions assigned to minors.</t>
  </si>
  <si>
    <t>Worker, migrant</t>
  </si>
  <si>
    <t>Migrant worker</t>
  </si>
  <si>
    <t>A person who migrates from one country to another with a view to being employed otherwise than on his or her own account. This can also apply to workers moving from one state to another, especially in countries characterised by large geographical territories and also where recruitment legislation may differ.</t>
  </si>
  <si>
    <t>Worker, minor</t>
  </si>
  <si>
    <t>Minor worker</t>
  </si>
  <si>
    <t>The ILO Convention states a minimum age of 15 for minors.  However, for some nations whose economy and educational facilities are insufficiently developed, they may specify a minimum age of 14 years.  Other nations may have established a higher minimum age.   The national minimum working age is to be respected where it differs from the ILO Convention.</t>
  </si>
  <si>
    <t>Worker, permanent</t>
  </si>
  <si>
    <t>Permanent worker</t>
  </si>
  <si>
    <t>An employee who has been hired for a position without a pre-determined time limit.  This can also apply to family members and voluntary workers.</t>
  </si>
  <si>
    <t>Worker, seasonal</t>
  </si>
  <si>
    <t>Seasonal worker</t>
  </si>
  <si>
    <t>A form of temporary employee, who is typically hired for a short-term at a specific time of year. This can also apply to family members and voluntary workers.</t>
  </si>
  <si>
    <t>Worker, temporary</t>
  </si>
  <si>
    <t>Temporary worker</t>
  </si>
  <si>
    <t>An employee who has been hired for a position with a pre-determined time limit. This can also apply to family members and voluntary workers.</t>
  </si>
  <si>
    <t>Worker, voluntary</t>
  </si>
  <si>
    <t>Voluntary worker</t>
  </si>
  <si>
    <t>A person who serves or acts in a specified function of their own accord and without compulsion or promise of remuneration.  Contracts may or may not be required depending on the type and duration of work, and national legislation. This can also apply to family members.</t>
  </si>
  <si>
    <t>Workers’ association</t>
  </si>
  <si>
    <t>Employees’ association</t>
  </si>
  <si>
    <t>An organisation, other than a trade union, whose members comprise employees of a single employing organisation.</t>
  </si>
  <si>
    <t>Workers’ representative</t>
  </si>
  <si>
    <t>Elected representative, Trade Union representative</t>
  </si>
  <si>
    <t>Persons who are recognised under national law or practice, whether they are: 
·        Trade union representatives, representatives designated or elected by trade unions or by the members of such unions; or
·        Elected representatives, representatives who are freely elected by the workers of the respective organisation in accordance with provisions of national laws or regulations or of collective agreements and whose functions do not include activities which are recognised as the exclusive prerogative of trade unions in the country concerned.</t>
  </si>
  <si>
    <t>Outcomes</t>
  </si>
  <si>
    <t>Indicators</t>
  </si>
  <si>
    <t>Improve livestock waste management</t>
  </si>
  <si>
    <t>Water holding capacity</t>
  </si>
  <si>
    <t>Optimise crop protection</t>
  </si>
  <si>
    <t>Area of on-farm habitat</t>
  </si>
  <si>
    <t>Increase soil health and fertility</t>
  </si>
  <si>
    <t>Water infiltration</t>
  </si>
  <si>
    <t>Increase nutrient use efficiency</t>
  </si>
  <si>
    <t>Area of soil cover</t>
  </si>
  <si>
    <t>Aggregate stability</t>
  </si>
  <si>
    <t>Increase water use efficiency</t>
  </si>
  <si>
    <t>Soil organic carbon content</t>
  </si>
  <si>
    <t>Enhance on-farm habitat provision</t>
  </si>
  <si>
    <t>Increase cultivated crop and pasture diversity</t>
  </si>
  <si>
    <t>N use efficiency</t>
  </si>
  <si>
    <t>P use efficiency</t>
  </si>
  <si>
    <t>Reduce greenhouse gas emissions</t>
  </si>
  <si>
    <t>K use efficiency</t>
  </si>
  <si>
    <t>Integrated pest management score</t>
  </si>
  <si>
    <t>Volume of irrigated water</t>
  </si>
  <si>
    <t>Number of species cultivated</t>
  </si>
  <si>
    <t>Ammonia emissions</t>
  </si>
  <si>
    <t>Alternative Term</t>
  </si>
  <si>
    <r>
      <t xml:space="preserve">Date of assessment </t>
    </r>
    <r>
      <rPr>
        <sz val="13"/>
        <color theme="1"/>
        <rFont val="Calibri"/>
        <family val="2"/>
        <scheme val="minor"/>
      </rPr>
      <t>(YYYY-MM-DD)</t>
    </r>
  </si>
  <si>
    <t>2. Contact Person</t>
  </si>
  <si>
    <t>3. Function Contact Person</t>
  </si>
  <si>
    <t>1. Name Of Farm</t>
  </si>
  <si>
    <t>4. Street</t>
  </si>
  <si>
    <t>5. City</t>
  </si>
  <si>
    <t>6. ZIP Code</t>
  </si>
  <si>
    <t>7. Country</t>
  </si>
  <si>
    <t>8. Email</t>
  </si>
  <si>
    <t>9. Phone Number</t>
  </si>
  <si>
    <t>10. Crop Produced</t>
  </si>
  <si>
    <t>11. How many permanent workers do you employ?</t>
  </si>
  <si>
    <t>12. How many temporary workers do you employ?</t>
  </si>
  <si>
    <t>13. Number of workers living on the farm</t>
  </si>
  <si>
    <t>General Information</t>
  </si>
  <si>
    <t>CO2 eq footprint</t>
  </si>
  <si>
    <t>Environmental Impact Quotient</t>
  </si>
  <si>
    <t>Methane emissions</t>
  </si>
  <si>
    <t>Deforestation Free Feed</t>
  </si>
  <si>
    <t>Check_Box_Name</t>
  </si>
  <si>
    <t>Cell_Link</t>
  </si>
  <si>
    <t>REGEN AG</t>
  </si>
  <si>
    <t>Total</t>
  </si>
  <si>
    <t>Farming System</t>
  </si>
  <si>
    <t>14. What is the primary farming system of your farm?</t>
  </si>
  <si>
    <t>15. What do you grow on your farm?</t>
  </si>
  <si>
    <t xml:space="preserve">    Please indicate if the crop is in scope of the Regenerating Together assessment. Please indicate the volumes per year delivered to the buyer. You can also indicate cover crops.</t>
  </si>
  <si>
    <t>Crop Name</t>
  </si>
  <si>
    <t>In scope of FSA + Regen Ag Assessment?</t>
  </si>
  <si>
    <t>Level</t>
  </si>
  <si>
    <t>Topic</t>
  </si>
  <si>
    <t>FSA1</t>
  </si>
  <si>
    <t>Do you have a clear title to the land you farm on, either through ownership, a valid legal agreement or customary law?</t>
  </si>
  <si>
    <t>Yes</t>
  </si>
  <si>
    <t>Essential</t>
  </si>
  <si>
    <t>Farm Management &amp; Community</t>
  </si>
  <si>
    <t>FSA2</t>
  </si>
  <si>
    <t>Where applicable, during the land acquisition process, did you use Free, Prior and Informed Consent (FPIC) with any affected communities to prevent and resolve land conflicts?</t>
  </si>
  <si>
    <t>FSA3</t>
  </si>
  <si>
    <t>Do you take any measures to prevent bribery, corruption and fraud, in accordance with relevant legislation?</t>
  </si>
  <si>
    <t>FSA4</t>
  </si>
  <si>
    <t>Can you demonstrate how you comply with and keep informed of changes to relevant legislation?</t>
  </si>
  <si>
    <t>FSA5</t>
  </si>
  <si>
    <t>Do you ensure the safety and quality of your products based on training, education or advice received from a qualified advisor?</t>
  </si>
  <si>
    <t>FSA6</t>
  </si>
  <si>
    <t>Do you have a documented system to manage:</t>
  </si>
  <si>
    <t>The food safety and quality of your products?</t>
  </si>
  <si>
    <t>The traceability of your products?</t>
  </si>
  <si>
    <t xml:space="preserve">FSA7
</t>
  </si>
  <si>
    <t>Do you have contracts in place for the purchase of your product which take into consideration a) specification, b) price, c) volume, and d) payment terms and conditions?</t>
  </si>
  <si>
    <t>FSA8</t>
  </si>
  <si>
    <t>Do you have a system in place to determine the profitability of your farming operations?</t>
  </si>
  <si>
    <t>FSA9</t>
  </si>
  <si>
    <t>Do you keep stock inventory control of fixed assets and farm inputs?</t>
  </si>
  <si>
    <t>FSA10</t>
  </si>
  <si>
    <t xml:space="preserve">Did you assess: </t>
  </si>
  <si>
    <t>The suitability of your land for its current and planned activities?</t>
  </si>
  <si>
    <t>The impact these activities may have on the environment and wider community?</t>
  </si>
  <si>
    <t>FSA11</t>
  </si>
  <si>
    <t>Have you:</t>
  </si>
  <si>
    <t>Addressed all the relevant risks and opportunities identified from the assessment?</t>
  </si>
  <si>
    <t>Secured the long-term viability of your business?</t>
  </si>
  <si>
    <t>FSA12</t>
  </si>
  <si>
    <t>Have you identified and implemented any opportunities to increase the resilience of your business?</t>
  </si>
  <si>
    <t>FSA13</t>
  </si>
  <si>
    <t>Do you communicate openly with the community in order to inform them of and address any concerns raised by them over your farming operations?</t>
  </si>
  <si>
    <t>FSA14</t>
  </si>
  <si>
    <t>Where applicable, have you designed all fuel storage units, tanks and refuelling areas to be safe and secure and to prevent the risk of soil and groundwater contamination, in accordance with relevant legislation and industry guidelines?</t>
  </si>
  <si>
    <t>FSA15</t>
  </si>
  <si>
    <t>Where applicable, have all permanent, temporary and seasonal workers who handle or use fuel, fertilisers, plant protection products (PPPs) and other hazardous substances received effective instructions and training on their safe handling, use and application?</t>
  </si>
  <si>
    <t>FSA16</t>
  </si>
  <si>
    <t>Where applicable, have all permanent, temporary and seasonal workers who handle or use fuel, fertilisers, plant protection products (PPPs) and other hazardous substances been trained to deal with accidents or spills?</t>
  </si>
  <si>
    <t>FSA17</t>
  </si>
  <si>
    <t>Are adequate changing and washing facilities provided to persons who handle or use fuel, fertilisers, plant protection products (PPPs) and other hazardous substances?</t>
  </si>
  <si>
    <t>FSA18</t>
  </si>
  <si>
    <t>Do you or your service provider have a preventative maintenance programme for the proper, efficient functioning of farm vehicles, equipment and machinery?</t>
  </si>
  <si>
    <t>FSA19</t>
  </si>
  <si>
    <t>Do you or your service provider ensure that relevant legislation or manufacturer guidelines for the calibration and servicing of plant protection product (PPP) and fertiliser application equipment are followed?</t>
  </si>
  <si>
    <t>Where applicable, is your business a legal entity?</t>
  </si>
  <si>
    <t>Where applicable, have you identified legal and customary rights of land tenure, access and use of by other parties that apply to the land?</t>
  </si>
  <si>
    <t>Where applicable, have any involuntary settlements identified during the land acquisition process been addressed?</t>
  </si>
  <si>
    <t>Where applicable, did affected persons receive compensation and benefits during the land acquisition process?</t>
  </si>
  <si>
    <t>Where applicable, have any land use conflicts identified during the land acquisition process, been addressed?</t>
  </si>
  <si>
    <t>Where applicable, do you ensure that the negative impacts identified from social and environmental impact assessments for new land acquisition or business operations are mitigated before starting activities?</t>
  </si>
  <si>
    <t>FSA20</t>
  </si>
  <si>
    <t>Can you demonstrate compliance with the handling, production and processing of approved genetically modified organisms (GMOs) on your land, in accordance with relevant legislation, seed company guidelines and client requirements?</t>
  </si>
  <si>
    <t>Plant Material Selection &amp; Propagation</t>
  </si>
  <si>
    <t>FSA21</t>
  </si>
  <si>
    <t>Do you take appropriate measures to prevent the risk of cross-contamination with conventional (non-GMO) material also grown on your land or in the wider community, in accordance with relevant legislation and seed company guidelines?</t>
  </si>
  <si>
    <t>FSA22</t>
  </si>
  <si>
    <t>Where applicable, do you or your service provider make an informed choice on varietal selection that takes into consideration client requirements, climate and socio-economic and environmental factors?</t>
  </si>
  <si>
    <t>FSA23</t>
  </si>
  <si>
    <t>Do you or your service provider ensure that your choice of seed or propagation material is
a) of high quality and 
b) sourced from trustworthy sources?</t>
  </si>
  <si>
    <t>FSA24</t>
  </si>
  <si>
    <t>Do you or your service provider keep records, including any applied treatment, certified status or phytosanitary certificates, of your own or imported seed or propagation material?</t>
  </si>
  <si>
    <t>FSA25</t>
  </si>
  <si>
    <t>Where applicable, do you or your service provider ensure that your choice of soil substrate is 
a) of high quality and
b) from sustainable sources?</t>
  </si>
  <si>
    <t>FSA26</t>
  </si>
  <si>
    <t>Where applicable, do you use any dedicated areas or structures to protect seedlings and plantlets during hardening?</t>
  </si>
  <si>
    <t>FSA27</t>
  </si>
  <si>
    <t>Where applicable, do you take into account the optimum seed rate or plant spacing based on your local situation and crop choice?</t>
  </si>
  <si>
    <t>FSA28</t>
  </si>
  <si>
    <t>Where applicable, do you or your service provider take any measures to:</t>
  </si>
  <si>
    <t>Soil Management</t>
  </si>
  <si>
    <t>Maintain crop cover?</t>
  </si>
  <si>
    <t>RTF 01</t>
  </si>
  <si>
    <t>Please specify the proportion (%) of you annual non-cash crop areas that are sown with a cover or catch crop.</t>
  </si>
  <si>
    <t>Increase organic matter?</t>
  </si>
  <si>
    <t>RTF 02</t>
  </si>
  <si>
    <t>Please specify the proportion (%) of your annual cropped area that has either a living mulch or mulch.</t>
  </si>
  <si>
    <t>RTF 03</t>
  </si>
  <si>
    <t>No</t>
  </si>
  <si>
    <t>RTF 04</t>
  </si>
  <si>
    <t>Please specify how frequently you test soil organic matter levels.</t>
  </si>
  <si>
    <t>Protect and promote soil biodiversity?</t>
  </si>
  <si>
    <t>FSA29</t>
  </si>
  <si>
    <t>Where applicable, do you or your service provider take any measures to prevent or minimise:</t>
  </si>
  <si>
    <t>Soil disturbance?</t>
  </si>
  <si>
    <t>RTF 05</t>
  </si>
  <si>
    <t>Please specify the proportion (%) of annual cropped area that is established using practices that minimise soil disturbance.</t>
  </si>
  <si>
    <t>Air and waterborne soil erosion?</t>
  </si>
  <si>
    <t>Soil compaction?</t>
  </si>
  <si>
    <t>RTF 06</t>
  </si>
  <si>
    <t>Please specify the proportion (%) of your field operations are carried out using a controlled traffic farming approach, with the aim of reducing the % field surface area trafficked as low as possible?</t>
  </si>
  <si>
    <t>Poor drainage?</t>
  </si>
  <si>
    <t>FSA30</t>
  </si>
  <si>
    <t>Have you or your service provider adopted any soil amendment measures to actively improve soil health?</t>
  </si>
  <si>
    <t>FSA31</t>
  </si>
  <si>
    <t>Where applicable, do you practice either a mixed cropping or crop rotation system on your land?</t>
  </si>
  <si>
    <t>RTF 07</t>
  </si>
  <si>
    <t>Please specify the proportion (%) of your total cropped area that grows 3 or more crops in rotation.</t>
  </si>
  <si>
    <t>FSA32</t>
  </si>
  <si>
    <t>Do you or your service provider have a list of approved fertilisers, including their specifications and application methods, in accordance with specific crop needs?</t>
  </si>
  <si>
    <t>Nutrient Management</t>
  </si>
  <si>
    <t>RTF 08</t>
  </si>
  <si>
    <t xml:space="preserve">Do you use manure handling approaches to improve the nutrient profile of manure (e.g. additives) and/or reduce greenhouse gas emissions and prevent pollution from manure (e.g. covered store)?
</t>
  </si>
  <si>
    <t>RTF 09</t>
  </si>
  <si>
    <t>FSA33</t>
  </si>
  <si>
    <t>Do you or your service provider keep fertiliser application records, in accordance with relevant legislation and industry guidelines?</t>
  </si>
  <si>
    <t>FSA34</t>
  </si>
  <si>
    <t>Do you or your service provider perform periodic soil sampling to monitor the changes in soil condition?</t>
  </si>
  <si>
    <t>FSA35</t>
  </si>
  <si>
    <t>Do you have a nutrient management plan based on the principles of the 4 Rs:</t>
  </si>
  <si>
    <t>Right source?</t>
  </si>
  <si>
    <t>Right rate?</t>
  </si>
  <si>
    <t>Right time?</t>
  </si>
  <si>
    <t>Right place?</t>
  </si>
  <si>
    <t>FSA36</t>
  </si>
  <si>
    <t>Have you or your service provider adopted any on-farm measures to reduce your reliance on fertiliser inputs?</t>
  </si>
  <si>
    <t>FSA37</t>
  </si>
  <si>
    <t>Do you or your service provider manage fertilisers in a safe and secure manner to prevent exposure and risk to people and the environment through proper:</t>
  </si>
  <si>
    <t>Labelling?</t>
  </si>
  <si>
    <t>Storage?</t>
  </si>
  <si>
    <t>Mixing and handling?</t>
  </si>
  <si>
    <t>FSA38</t>
  </si>
  <si>
    <t>Do you or your service provider only use plant protection products (PPPs) that are officially registered and permitted in your country for the respective crops?</t>
  </si>
  <si>
    <t>Chemical Control</t>
  </si>
  <si>
    <t>FSA39</t>
  </si>
  <si>
    <t>Do you or your service provider prevent the use of any plant protection products (PPPs) included in applicable international conventions as highlighted in:</t>
  </si>
  <si>
    <t>The SAI Platform Red List of Plant Protection Products?</t>
  </si>
  <si>
    <t>The SAI Platform Amber List of Plant Protection Products?</t>
  </si>
  <si>
    <t>FSA40</t>
  </si>
  <si>
    <t>Where applicable, have you or your service provider incorporated any export or trading restrictions on the use of plant protection products (PPPs) required of you by the destination market or client respectively?</t>
  </si>
  <si>
    <t>FSA41</t>
  </si>
  <si>
    <t>Do your or your service provider purchase plant protection products (PPPs) from a licenced source?</t>
  </si>
  <si>
    <t>FSA42</t>
  </si>
  <si>
    <t>Do you or your service provider keep plant protection product (PPP) application records, in accordance with relevant legislation and industry guidelines?</t>
  </si>
  <si>
    <t>FSA43</t>
  </si>
  <si>
    <t>Do you or your service provider respect label recommendations based on:</t>
  </si>
  <si>
    <t>The timing and concentration of application?</t>
  </si>
  <si>
    <t>The maximum authorised rates of application?</t>
  </si>
  <si>
    <t>Restricted entry intervals (REIs)?</t>
  </si>
  <si>
    <t>Appropriate pre-harvest intervals (PHIs)?</t>
  </si>
  <si>
    <t>FSA44</t>
  </si>
  <si>
    <t>Do you or your service provider take any measures to prevent the application of plant protection products (PPPs) to non-targeted crops, species and areas, including the wider community and environment, in accordance with relevant legislation and industry guidelines?</t>
  </si>
  <si>
    <t>FSA45</t>
  </si>
  <si>
    <t>Do all spray handlers and operators receive appropriate and well-maintained personal protective equipment (PPE)?</t>
  </si>
  <si>
    <t>FSA46</t>
  </si>
  <si>
    <t>Where applicable, do you or your service provider manage plant protection products (PPPs) in a safe and secure manner to prevent exposure and risk to people and the environment through proper:</t>
  </si>
  <si>
    <t>FSA47</t>
  </si>
  <si>
    <t>Do you or your service provider safely clean equipment and empty containers, and store them in a manner to minimise the risk to people and the environment?</t>
  </si>
  <si>
    <t>FSA48</t>
  </si>
  <si>
    <t>Have you or your service provider implemented an Integrated Pest Management (IPM) plan based on:</t>
  </si>
  <si>
    <t>Integrated Pest Management</t>
  </si>
  <si>
    <t>Relevant legislation, training or sound advice from a qualified source?</t>
  </si>
  <si>
    <t>Reducing chemical loading?</t>
  </si>
  <si>
    <t>Reducing weed, pest and disease resistance?</t>
  </si>
  <si>
    <t>Reducing adverse impact to people and the environment?</t>
  </si>
  <si>
    <t>FSA49</t>
  </si>
  <si>
    <t>Is the use of plant protection products (PPPs) justified?</t>
  </si>
  <si>
    <t>FSA50</t>
  </si>
  <si>
    <t>Do you or your service provider comply with relevant legislation for the safe and proper storage, transportation and disposal of a) waste material and b) hazardous substances and their containers?</t>
  </si>
  <si>
    <t>Waste Management</t>
  </si>
  <si>
    <t>FSA51</t>
  </si>
  <si>
    <t>Do you reduce, reuse and recycle (non-crop) waste?</t>
  </si>
  <si>
    <t>FSA52</t>
  </si>
  <si>
    <t>Do you avoid any crop, crop residue or product going to landfill?</t>
  </si>
  <si>
    <t>FSA53</t>
  </si>
  <si>
    <t>Do you take any measures to optimise rainwater use for your crop water needs?</t>
  </si>
  <si>
    <t>Water Management</t>
  </si>
  <si>
    <t>FSA54</t>
  </si>
  <si>
    <t>Where applicable, do you take any measures to harvest surplus rainwater or promote groundwater recharging?</t>
  </si>
  <si>
    <t>FSA55</t>
  </si>
  <si>
    <t>Where applicable, do you hold a valid water extraction licence?</t>
  </si>
  <si>
    <t>FSA56</t>
  </si>
  <si>
    <t>Where applicable, is the total and peak volume of water extracted within permitted legal limits?</t>
  </si>
  <si>
    <t>FSA57</t>
  </si>
  <si>
    <t>Does irrigation water quality comply with relevant legislation and industry guidelines?</t>
  </si>
  <si>
    <t>FSA58</t>
  </si>
  <si>
    <t>Do you keep irrigation application records?</t>
  </si>
  <si>
    <t>FSA59</t>
  </si>
  <si>
    <t>Do you have an irrigation management plan that optimises crop productivity and water use efficiency, based on:</t>
  </si>
  <si>
    <t>Crop water needs?</t>
  </si>
  <si>
    <t>Water availability?</t>
  </si>
  <si>
    <t>Irrigation equipment calibration and maintenance?</t>
  </si>
  <si>
    <t>Duration and frequency of application?</t>
  </si>
  <si>
    <t>FSA60</t>
  </si>
  <si>
    <t>Do you prevent soil or water pollution by managing all potential sources of wastewater runoff and discharge, in accordance with relevant legislation and industry guidelines?</t>
  </si>
  <si>
    <t>FSA61</t>
  </si>
  <si>
    <t>Where applicable, do you recycle greywater?</t>
  </si>
  <si>
    <t>FSA62</t>
  </si>
  <si>
    <t>Do you prevent the use or discharge of untreated sewage, sludge or slurry onto land or watercourses, in accordance with relevant legislation and industry guidelines?</t>
  </si>
  <si>
    <t>FSA63</t>
  </si>
  <si>
    <t xml:space="preserve">Where applicable, have you left all primary forest, mangrove, wetland, peatland, protected grassland and legal reserves in their original condition since 31.12.2015?
</t>
  </si>
  <si>
    <t>FSA64</t>
  </si>
  <si>
    <t>Where applicable, do you have the necessary legal permits for any cleared grassland or deforested secondary forest, or to farm adjacent to or in protected areas, in accordance with relevant legislation and customary laws?</t>
  </si>
  <si>
    <t>FSA65</t>
  </si>
  <si>
    <t>Have you taken any measures to protect and promote natural habitat on your land, especially areas adjacent to watercourses and protected areas?</t>
  </si>
  <si>
    <t>RTF 10</t>
  </si>
  <si>
    <t>Please specify the proportion (%) of your total land area that is allocated to natural/semi-natural habitats.</t>
  </si>
  <si>
    <t>RTF 11</t>
  </si>
  <si>
    <t>Please specify the proportion (%) of farm watercourses surrounded by a buffer zone.</t>
  </si>
  <si>
    <t>FSA66</t>
  </si>
  <si>
    <t>Are field margins, boundaries and watercourses managed with limited and timely intervention?</t>
  </si>
  <si>
    <t>RTF 12</t>
  </si>
  <si>
    <t>Please specify the of proportion (%) your non-cropped land area that is allocated to hedgerow or green buffer areas.</t>
  </si>
  <si>
    <t>RTF 13</t>
  </si>
  <si>
    <t xml:space="preserve">Is any of your annual cropped area grown using an agroforestry system? </t>
  </si>
  <si>
    <t>RTF 14</t>
  </si>
  <si>
    <t>Please specify the proportion (%) of your annual cropped area grown using an agroforestry system.</t>
  </si>
  <si>
    <t>FSA67</t>
  </si>
  <si>
    <t>Have you restored areas of low productivity to natural habitat?</t>
  </si>
  <si>
    <t>FSA68</t>
  </si>
  <si>
    <t>Do you have a plan in place to create a healthy ecosystem by protecting and promoting the following:</t>
  </si>
  <si>
    <t>Native species?</t>
  </si>
  <si>
    <t>Beneficial species of flora and fauna?</t>
  </si>
  <si>
    <t>Rare, threatened and endangered species?</t>
  </si>
  <si>
    <t>FSA69</t>
  </si>
  <si>
    <t>Do you take any measures to prevent the illegal hunting, fishing and extraction of flora and fauna on your land, including rare, threatened and endangered species, in accordance with relevant legislation and customary laws?</t>
  </si>
  <si>
    <t>FSA70</t>
  </si>
  <si>
    <t>Do you avoid the deliberate introduction, cultivation and use of known invasive species?</t>
  </si>
  <si>
    <t>FSA71</t>
  </si>
  <si>
    <t>Where applicable, do you avoid the deliberate use of fire for land clearance purposes?</t>
  </si>
  <si>
    <t>Where applicable, are habitat restoration or other compensation approaches a) discussed through stakeholder engagement, and b) reviewed by technically competent persons?</t>
  </si>
  <si>
    <t>FSA72</t>
  </si>
  <si>
    <t>Where applicable, have you taken any measures to prevent or mitigate air pollution, in accordance with relevant legislation and industry guidelines?</t>
  </si>
  <si>
    <t>Air Quality and Emissions</t>
  </si>
  <si>
    <t>FSA73</t>
  </si>
  <si>
    <t>For your farming operations, have you:</t>
  </si>
  <si>
    <t>Listed your energy sources and quantified your energy needs?</t>
  </si>
  <si>
    <t>Taken any measures to optimise energy use efficiency?</t>
  </si>
  <si>
    <t>FSA74</t>
  </si>
  <si>
    <t>Have you identified and sourced any clean and sustainable sources of renewable energy for your farming operations?</t>
  </si>
  <si>
    <t>FSA75</t>
  </si>
  <si>
    <t>Do you measure and monitor all of your sources of greenhouse (GHG) emissions?</t>
  </si>
  <si>
    <t>Do you undertake on-farm measures to sequester or capture carbon?</t>
  </si>
  <si>
    <t>Where applicable, have you taken measures to prevent the risk of fire on your land?</t>
  </si>
  <si>
    <t>Do you have a climate-related emergency plan that addresses current and potential climate-related impacts identified from land use assessments such as increased risk of pest and disease loading, drought, floods, and worker vulnerability to diseases and heat-stress?</t>
  </si>
  <si>
    <t>FSA76</t>
  </si>
  <si>
    <t>Do you or your recruitment agency ensure that all permanent, temporary and seasonal workers have a legal right to work?</t>
  </si>
  <si>
    <t>Labour Conditions</t>
  </si>
  <si>
    <t>FSA77</t>
  </si>
  <si>
    <t>Do you or your recruitment agency ensure that you are not using any form of forced or bonded labour, in accordance with relevant legislation and ILO Conventions?</t>
  </si>
  <si>
    <t>FSA78</t>
  </si>
  <si>
    <t>Do you ensure that you or any recruitment agencies supplying you with labour do not charge workers a) recruitment fees or b) any other related costs associated with labour provision, in accordance with relevant legislation and ILO Conventions?</t>
  </si>
  <si>
    <t>FSA79</t>
  </si>
  <si>
    <t>Do you a) inform permanent, temporary and seasonal workers, as well as contractors, of their legal rights and obligations, and b) establish working contracts or relationships, in accordance with relevant legislation and ILO Conventions?</t>
  </si>
  <si>
    <t>FSA80</t>
  </si>
  <si>
    <t>Do you ensure that all permanent, temporary and seasonal workers are subject to the same working conditions and a) have access to the same opportunities, b) receive equivalent pay for similar tasks and abilities, and c) are treated equally with respect to training, recruitment and disciplinary procedures regardless of their race, religion, disability, gender or sexual orientation?</t>
  </si>
  <si>
    <t>FSA81</t>
  </si>
  <si>
    <t>Do you ensure that permanent, temporary and seasonal workers do not exceed the maximum number of a) working hours per day and b) consecutive working days, in accordance with relevant legislation and ILO Conventions?</t>
  </si>
  <si>
    <t>FSA82</t>
  </si>
  <si>
    <t>Do you ensure that permanent, temporary and seasonal workers are provided with adequate breaks and provision of a) potable water, b) shade, and c) sanitation during their shift, in accordance with relevant legislation, ILO Conventions or, in their absence, industry guidelines?</t>
  </si>
  <si>
    <t>FSA83</t>
  </si>
  <si>
    <t>Do you ensure that overtime work is 
a) voluntary, and 
b) compensated, in accordance with relevant legislation and ILO Conventions?</t>
  </si>
  <si>
    <t>FSA84</t>
  </si>
  <si>
    <t>Do you ensure that wages and benefits of permanent, temporary and seasonal workers are a) paid regularly and b) meet the minimum required by relevant legislation or, in its absence, industry guidelines?</t>
  </si>
  <si>
    <t>FSA85</t>
  </si>
  <si>
    <t>Are any deductions from wages a) legally permitted, b) clearly recorded and communicated to workers, and c) never made for disciplinary purposes?</t>
  </si>
  <si>
    <t>FSA86</t>
  </si>
  <si>
    <t>Where applicable, do permanent, temporary and seasonal workers receive a) paid vacation, b) parental leave, and c) sickness benefit, in accordance with relevant legislation and ILO Conventions?</t>
  </si>
  <si>
    <t>FSA87</t>
  </si>
  <si>
    <t>Do you pay all of your permanent, temporary and seasonal workers the equivalent of a living wage?</t>
  </si>
  <si>
    <t>FSA88</t>
  </si>
  <si>
    <t>Where applicable, are permanent, temporary and seasonal workers compensated for any accident or illness due to work-related activities, in accordance with relevant legislation?</t>
  </si>
  <si>
    <t>FSA89</t>
  </si>
  <si>
    <t>Where applicable, do you advise or financially support your permanent, temporary and seasonal workers on the availability of health insurance?</t>
  </si>
  <si>
    <t>FSA90</t>
  </si>
  <si>
    <t>Where applicable, do you allow permanent, temporary and seasonal workers the right to establish, join or actively participate in an association of their choice, in accordance with relevant legislation and ILO Conventions?</t>
  </si>
  <si>
    <t>FSA91</t>
  </si>
  <si>
    <t>Where applicable, do you a) allow the effective functioning of labour organisations and b) permit permanent, temporary and seasonal workers the right to engage with workers' representatives without any opposition, in accordance with relevant legislation and ILO Conventions?</t>
  </si>
  <si>
    <t>FSA92</t>
  </si>
  <si>
    <t>Have you established a positive work environment in which permanent, temporary and seasonal workers can freely practice their religion and fulfil their needs based on culture, race, disability, gender and sexual orientation?</t>
  </si>
  <si>
    <t>FSA93</t>
  </si>
  <si>
    <t>Have you established and implemented a grievance mechanism that allows permanent, temporary and seasonal workers the right to report complaints, in the knowledge that a) grievances will be investigated and b) any upheld findings will be actioned?</t>
  </si>
  <si>
    <t>FSA94</t>
  </si>
  <si>
    <t>Do you provide relevant training for all permanent, temporary and seasonal labour?</t>
  </si>
  <si>
    <t>FSA95</t>
  </si>
  <si>
    <t>Where applicable, do you take into account language and cultural barriers when it comes to worker training and communication?</t>
  </si>
  <si>
    <t>FSA96</t>
  </si>
  <si>
    <t>Do you prohibit the employment of minors as permanent, temporary or seasonal workers, in accordance with relevant legislation and ILO Conventions?</t>
  </si>
  <si>
    <t>FSA97</t>
  </si>
  <si>
    <t xml:space="preserve">Do you ensure that any minors employed do not conduct hazardous work or any work that jeopardises their physical, mental or moral well-being, in accordance with relevant legislation and ILO Conventions? 
</t>
  </si>
  <si>
    <t>FSA98</t>
  </si>
  <si>
    <t xml:space="preserve"> Do you ensure that all minors living or working on the farm can go to school or receive home schooling?</t>
  </si>
  <si>
    <t>FSA99</t>
  </si>
  <si>
    <t>Have you a) identified risks associated with your activities and b) implemented remedial actions to safeguard the health and safety of all permanent, temporary and seasonal workers, contractors, visitors and the community?</t>
  </si>
  <si>
    <t>FSA100</t>
  </si>
  <si>
    <t>Do you organise regular Occupational Health &amp; Safety (OHS) training for all permanent, temporary and seasonal workers?</t>
  </si>
  <si>
    <t>FSA101</t>
  </si>
  <si>
    <t xml:space="preserve">Do you ensure a) adequate first aid supplies and b) the presence of someone with first aid skills on the farm at all times? </t>
  </si>
  <si>
    <t>FSA102</t>
  </si>
  <si>
    <t>Do you ensure that injured or ill workers do not continue performing any activities that are detrimental to their health and safety or that of other workers?</t>
  </si>
  <si>
    <t>FSA103</t>
  </si>
  <si>
    <t xml:space="preserve">Do you ensure that a) all accidents are reported and recorded and b) appropriate medical treatment was received? </t>
  </si>
  <si>
    <t>FSA104</t>
  </si>
  <si>
    <t>Do you provide medical screening for all permanent, temporary and seasonal workers that have a higher risk of disease or health-related issues due to environmental factors or the nature of their work?</t>
  </si>
  <si>
    <t>FSA105</t>
  </si>
  <si>
    <t>Are emergency contact details available and easily accessible at the farm to meet all reasonably foreseeable emergency medical situations?</t>
  </si>
  <si>
    <t>FSA106</t>
  </si>
  <si>
    <t>Where applicable, do you ensure that all permanent, temporary and seasonal workers who may be vulnerable or whose immune systems may be compromised do not handle plant protection products (PPPs) or hazardous substances?</t>
  </si>
  <si>
    <t>FSA107</t>
  </si>
  <si>
    <t>Do you ensure access to water, sanitation and hygiene (WASH) facilities for all permanent, temporary and seasonal workers and their families, visitors and subcontractors on the farm?</t>
  </si>
  <si>
    <t>FSA108</t>
  </si>
  <si>
    <t>Where applicable, do you provide all permanent, temporary and seasonal workers and their families a) access to appropriate cooking facilities and b) clean, safe accommodation and sanitation?</t>
  </si>
  <si>
    <t>FSA109</t>
  </si>
  <si>
    <t>Do you adopt any measures to a) promote personal hygiene and b) prevent diseases?</t>
  </si>
  <si>
    <t>Do you have a means of communicating working conditions and other human rights related topics to permanent, temporary, seasonal or voluntary workers?</t>
  </si>
  <si>
    <t>Do you regularly monitor working conditions and adapt management practices where necessary?</t>
  </si>
  <si>
    <t>Do you  or your recruitment agency prevent the withholding of legal documents of permanent, temporary, seasonal and voluntary workers?</t>
  </si>
  <si>
    <t>Where applicable, do you permit the voluntary formation of workers' representation?</t>
  </si>
  <si>
    <t>RTF 15</t>
  </si>
  <si>
    <t>Livestock</t>
  </si>
  <si>
    <t>RTF 16</t>
  </si>
  <si>
    <t>Please specify proportion (%) of your annual cropped land area that is farmed for temporary livestock forage and/or direct livestock integration.</t>
  </si>
  <si>
    <t>Where applicable, do you respect and uphold the rights of indigenous people?</t>
  </si>
  <si>
    <t>Human Rights</t>
  </si>
  <si>
    <t>Do you have a process in place to assess the impact of current or new operations on human rights?</t>
  </si>
  <si>
    <t>Do you have a documented Environmental and Social Management System (ESMS)?</t>
  </si>
  <si>
    <t>Code</t>
  </si>
  <si>
    <t>Answer</t>
  </si>
  <si>
    <t>Question</t>
  </si>
  <si>
    <t>Ref</t>
  </si>
  <si>
    <t>FSA</t>
  </si>
  <si>
    <t>REGEN</t>
  </si>
  <si>
    <t>Requirements</t>
  </si>
  <si>
    <t>Requirements (smallholders)</t>
  </si>
  <si>
    <t>Guidance Notes</t>
  </si>
  <si>
    <t>Guidance Links</t>
  </si>
  <si>
    <t>Be able to demonstrate land use title, or in its absence, official confirmation from either the local authority or customary leader that the land is being legitimately managed by the farmer. Show that the farm:
1. Has a formal land title or contracts (maps, contracts, etc.).
2. OR can explain rights to occupy, use, access, control, and transfer land that are derived from and sustained by the customary norms and practices specific to a community, family, tribe, clan, or other social collective.
3. Avoids impact on critical cultural heritage.</t>
  </si>
  <si>
    <t>Smallholder farmers should at least have a land use title, or in its absence, official confirmation from either the local authority or customary leader that the land has been legitimately acquired.</t>
  </si>
  <si>
    <t>Land rights can be defined as the rights of people (as individuals and groups) to occupy, use, access, control, and transfer land.
Formal land rights are the rights to occupy, use, access, control, and transfer land that are derived from and given documented status under constitutional and statutory law. Formal documents will often include a map showing boundaries, and it is important to understand whether registered land rights are up to date.
Customary land rights are the rights to occupy, use, access, control, and transfer land that are derived from and sustained by the customary norms and practices specific to a community, family, tribe, clan, or other social collective. These may be unwritten, have social legitimacy and/or widespread social sanction, and be adhered to by members of a local population. In some jurisdictions customary rights may be registered with the government, but quite often they are not, and so the boundaries of customary land holdings may not be demarcated.</t>
  </si>
  <si>
    <t>https://www.ifc.org/wps/wcm/connect/74f457f6-ddf7-44ec-87bb-fed991b978fc/Draft_Resettlement+Handbook_Disclosure_March132019_Final.pdf?MOD=AJPERES</t>
  </si>
  <si>
    <t>Only applicable if land farmed was acquired/purchased and/or a proportion of it was acquired/purchased. Provide evidence that the farm respects the title to property and land rights of the individual, local communities and indigenous people and that all negotiations, including the use of and transfers, are aligned to the principle of free, prior and informed consent (FPIC).</t>
  </si>
  <si>
    <t>Be able to show land boundaries and be aware of the importance of land rights and do not acquire/manage land to which they have no rights.</t>
  </si>
  <si>
    <t>Deeds or other official document showing rights to operate in countries/regions where land is not typically held through customary or informal tenure are appropriate evidence. If clear maps and well-defined boundaries are not available, neighbours and local officials should recognise the right to farm the land. Any dispute should be dealt with in a culturally appropriate, equitable and timely manner.
Visibly demarcate your land to avoid encroaching by others.</t>
  </si>
  <si>
    <t>Show that all business and commercial dealings are transparently performed and accurately recorded with a clear commitment to zero tolerance of bribery, corruption, extortion or embezzlement, conflicts of business interest and fraudulent practices.</t>
  </si>
  <si>
    <t>This can be explained verbally.</t>
  </si>
  <si>
    <t>http://www.oecd.org/daf/anti-bribery/44884389.pdf                       http://www.oecd.org/corruption/Anti-CorruptionEthicsComplianceHandbook.pdf</t>
  </si>
  <si>
    <t>Be able to demonstrate that individuals or the business are part of a continued professional development (CPD) program or third party certified scheme which includes regulation compliancy. 
Be able to show that the farm business has current sources of legal guidance and be able to demonstrate how it ensures applicable laws and regulations are complied with.</t>
  </si>
  <si>
    <t>This can be done on a landscape level.</t>
  </si>
  <si>
    <t>The farm understands and implements quality requirements and has a risk assessment covering all registered crops to ensure MRL are not exceeded.
Have records to show at least one of the following:
-	key members of staff have attended appropriate training courses, 
-	key members of staff are able to demonstrate a good level of awareness of typical safety and quality risks, or
-	have appointed a qualified advisor.</t>
  </si>
  <si>
    <t xml:space="preserve">Training and active support can be managed by the FMG. This can be explained verbally or via on-the-job assessment.
</t>
  </si>
  <si>
    <t>Need to ensure appropriate varieties are used and that contamination with pesticide residues, heavy metals, nutrients, foreign bodies, stones, animal parts, faecal matter or bacterial remains is within specification limits.
Training is considered to be one of the following possibilities:
- College level courses
- Training provided by independent accredited organisations
- Crop advisor trainings related to IPM
- Manuals or information from reputable sources</t>
  </si>
  <si>
    <t xml:space="preserve">There is a documented identification and traceability system to show the farm have identified critical control points throughout the crop production process to ensure food safety and quality. 
</t>
  </si>
  <si>
    <t>The food safety, quality and traceability systems can be managed by the FMG on behalf of the smallholder as long as there is evidence of its effective implementation at the farm level.</t>
  </si>
  <si>
    <t>The production records will allow products to be traced from the field of production to the immediate customer.
Typical safety and quality hazards are:
- Biological, including infection and cross-contamination
- Chemical
- Physical, including foreign matter
- Cross contamination with allergens
Once crop safety and quality hazards have been identified, you can put in place a Hazard Analysis and Critical Control Points (HACCP) management system by mapping out the crop production process up to farm gate. The management system then defines limits for the hazard as well as monitoring processes and remedial actions to reduce the risk of the hazard to acceptable on farm levels.</t>
  </si>
  <si>
    <t>Have mutually beneficial contract agreements for production aspects of the business relationship at the start of a growing season based on realistic predictions of yield/ volume and specifications, with all parties aware of the risks if these forecasts are not realised. Or show membership of a cooperative or similar organisation which agrees to purchase your crop.</t>
  </si>
  <si>
    <t xml:space="preserve">Contract templates can be shared and the process verbally explained where live contracts are considered of a sensitive nature.
</t>
  </si>
  <si>
    <t>Be able to demonstrate that records of yields, costs, income and profitability are kept. 
Should the documents be unavailable (not ready) for the current year, last year's records can be used.</t>
  </si>
  <si>
    <t>Show that, as part of an organised farm system, an inventory of farm fixed assets and inputs is maintained and updated to help crop and land management/development.</t>
  </si>
  <si>
    <t>A farm inventory is a list of assets - anything of value - that can be sold.
An inventory usually contains the following details:
- Size of the farm 
- The right of ownership 
- Size of the land that is used for agriculture 
- A valuation of the production unit
- Description and valuation of fixed improvements, such as a new borehole, store or roof
- Vehicles, machinery and equipment, as well as numbers and types or models 
- Stocks, farm supplies and production inputs such as seed, fertiliser and CPP
In separate columns of the inventory, indicate:
- The year when each item of property was purchased
- The purchase price of each item
- The expected lifetime of machinery/equipment
The over or under use of inputs may pose unnecessary negative environmental and economic impacts. Inputs may include, but are not limited to:
- Seed, seedlings, plant material
- Fertiliser
- Plant Protection Products (PPPs)
- Water
- Energy
- Labour
- Equipment</t>
  </si>
  <si>
    <t xml:space="preserve">Have evidence that the farm management is aware of risks associated with crop production and measures taken to optimise yields whilst taking into account safety, quality,  sustainable use of inputs, good agricultural practices and costs. Be aware of risks to crop losses associated with climatic or economic shock and adopt measures to build in resilience to crop and financial security. </t>
  </si>
  <si>
    <t>This can be explained verbally.                                         This can be done on a landscape level.</t>
  </si>
  <si>
    <t xml:space="preserve">Resilience concerns the ability to weather climatic, environmental, market and social shocks, i.e. drop in prices, especially commodity goods, extreme weather events, social unrest, and major pest or disease outbreak. Consider developing more than one income stream, for example:                                                                                                             
- Crop diversity                                                                                     
- Crop utilisation                                                                                      
- Land and land use management                                                                               
- By-product valorisation                                                                            
- Product mix                                                                                                         
- On-farm value addition                                                                               
- Client portfolio                                                                          
- Non-farming activities                                                                         </t>
  </si>
  <si>
    <t>Be able to show the farm communicates in a timely manner with neighbours and local communities to inform them of planned activities that may affect them, and have a process in place to deal with any grievances. The timelines for addressing grievances should be determined by the nature of their risk and complexity and include consultation with affected stakeholders.</t>
  </si>
  <si>
    <t>The FMG or direct client can act as a representative on behalf of smallholders.</t>
  </si>
  <si>
    <t>Building positive relationships with the community is invaluable. This means identifying the right people to tell within the community using the most effective communication channels available in advance of any activity that may cause them concern. Disturbance of local communities must be minimised; one approach may be to consider how the effects of proposed activities would affect you if they were being performed by a neighbour.
Activities that may need to be considered as having an impact upon neighbouring business operations or communities’ well-being include the generation of noise, unpleasant odours, temporary reduction in water availability to down-stream users, and increased traffic.</t>
  </si>
  <si>
    <t>https://www.ifc.org/wps/wcm/connect/affbc005-2569-4e58-9962-280c483baa12/IFC_StakeholderEngagement.pdf?MOD=AJPERES&amp;CVID=jkD13-p</t>
  </si>
  <si>
    <t>This is N/A if there are no fuel storage units, tanks or refuelling areas on your farm.
The farm must be able to demonstrate:
- Storage facilities are constructed of suitable materials and are kept secure, dry and well ventilated.
- Stores are located where they minimise risks to the environment during normal use and in foreseeable emergencies.
- A clear understanding of relevant legislation and guidance.</t>
  </si>
  <si>
    <t>No part of your installation can be within 10 metres of watercourses, including yard drains, dry ditches and land drains.                                                                                                                                                                               
A tank or drum must be surrounded by a secondary containment structure (bund).
The bund must:
- Have minimum 110% capacity of the tank                                
- Be impermeable to oil and water (walls, base)              
- Have no drain-down pipe                                                                                   
- Contain every part of the tank                                                     
- Have taps &amp; valves locked shut when not in use
- Contain delivery pipes permanently attached to the primary tank, which must be fitted with self-closing taps or valves and locked inside when not in use                                                                              
Waste fuel must be treated as hazardous waste (see FSA50).</t>
  </si>
  <si>
    <t>Have a clear training plan and training records of all farmers, workers and contractors who manage or are exposed to hazardous substances.
This is N/A if no fuel, fertilisers, plant protection products (PPPs) or other hazardous substances are handled on the farm. Training records must be retained.</t>
  </si>
  <si>
    <t>Training is critical for making long-term improvements in many aspects of sustainable production and highlights topics such as the legal aspects, use, storage, environmental, safety and other precautions.
The training plan must show that all mandatory training is kept up to date and additional training is considered to further develop the business and improve farm sustainability.
Any training given can be evidenced through certificates, proof of participation (registration lists), and/or worker interviews.
For more information and guidance, see ILO Conventions C170 and C174.</t>
  </si>
  <si>
    <t>https://www.ilo.org/dyn/normlex/en/f?p=NORMLEXPUB:12100:0::NO:12100:P12100_INSTRUMENT_ID:312315:NO                                        
 https://www.ilo.org/dyn/normlex/en/f?p=NORMLEXPUB:12100:0::NO:12100:P12100_INSTRUMENT_ID:312319:NO</t>
  </si>
  <si>
    <t>Be able to show evidence that dealing with hazardous chemical spills is included in health and safety training for all relevant workers, including records of any training given.
This is N/A if no fuel, fertilisers, plant protection products (PPPs) or other hazardous substances are handled on the farm.</t>
  </si>
  <si>
    <t>ILO Convention C174.</t>
  </si>
  <si>
    <t>https://www.ilo.org/dyn/normlex/en/f?p=NORMLEXPUB:12100:0::NO:12100:P12100_INSTRUMENT_ID:312319:NO</t>
  </si>
  <si>
    <t>Be able to show that the farm provides privacy, water and soap for workers to clean themselves in case of spillage, before meal breaks and at the end of the working shift.</t>
  </si>
  <si>
    <t>Workers should have access to the following in close proximity to where PPPs and other hazardous substances are stored and used:                                                                            
- Changing facilities
- Emergency showers 
- Eye wash stations
- Dedicated washing facilities for PPE
Where disposable PPE is used, the provision of washing facilities for PPE may not be required.
PPP-contaminated PPE must be washed separately from other materials and must never be taken into living, eating or sleeping places by workers to be washed or repaired.</t>
  </si>
  <si>
    <t>Be able to demonstrate that equipment and machinery are regularly serviced and well maintained. Evidence may include up-to-date maintenance logs or schedules and date calibration certificate/ seals.
This is N/A if you do not use equipment or machinery on your farm.</t>
  </si>
  <si>
    <t>This can be explained verbally or via on-the-job assessment.</t>
  </si>
  <si>
    <t>Examples include:                                                                                 
- Tillage equipment                                                                                     
- Vehicle tyre pressure                                                                                      
- Engine service                                                                                   
- Spray nozzle maintenance                                                                         
- General farm tools                                                                                
This applies to manual and animal-drawn implements too.</t>
  </si>
  <si>
    <t>All application equipment is maintained in good working order and is safe to use. The farm must be able to show that equipment manufacturers’ recommendations are followed and there is a careful maintenance check at least annually by the farmer to ensure failing parts (valves, hoses, nozzles, motors) are replaced.
This is N/A if no applications are made and no application equipment is used.</t>
  </si>
  <si>
    <t>The farm is a legally registered or defined entity.</t>
  </si>
  <si>
    <t>Provide evidence of legal and customary rights of tenure, access and use of by other parties that apply to the land.</t>
  </si>
  <si>
    <t xml:space="preserve">Addressing involuntary settlement may involve providing compensation and benefits for displaced persons, establishing community grievance mechanisms, developing restoration and livelihood plans, and addressing both physical and economic displacement. In some countries, title deeds can only be issued once involuntary settlements have been resolved.
This is N/A if there is no evidence of involuntary settlement duing the land acquistion process.
          </t>
  </si>
  <si>
    <t>Involuntary settlement in the land acquisition process refers to situations where individuals or communities are coerced or forced to relocate or give up their land, often without their full consent or adequate compensation.
The process is often contentious and may involve coercion or pressure, leaving affected communities with little choice but to vacate their homes or land. Involuntary settlement can lead to social, economic, and cultural disruptions, particularly if people lose access to their livelihoods, resources, or ancestral lands. To mitigate these impacts, international standards and best practices, such as the requirement for Free, Prior, and Informed Consent (FPIC), advocate for fair compensation, resettlement plans, and efforts to ensure that displaced communities are not worse off than before the acquisition.</t>
  </si>
  <si>
    <t>See IFC Guidance Note 5 on Land Acquisition and Involuntary Settlement: https://www.ifc.org/content/dam/ifc/doc/2010/2012-ifc-ps-guidance-note-5-en.pdf                                                                                                                                                                                                                                                                                                                                         See IFC Guidance See IFC Good Practice Handbook on Land Acquisition and Involuntary Settlement: https://www.ifc.org/content/dam/ifc/doc/2023/ifc-handbook-for-land-acquisition-and-involuntary-resettlement-module-1.pdf</t>
  </si>
  <si>
    <t>Displaced and other adversely affected persons and communities shall be compensated for loss of assets at full equivalent replacement cost and support to help them restore or improve their standard of living or livelhoods. Examples could include loss of access to wild harvesting, grazing rights, etc. Where livelihoods of displaced persons or communities are land-based, consider a land-based form of compensation.</t>
  </si>
  <si>
    <t>Where documentation is not mandatory or captured, official confirmation from either the local authority or customary leader is required to demonstrate compensatory conflicts concerning the land acquisition process have been addressed.</t>
  </si>
  <si>
    <t>The farm management must demonstrate that no land grabbing occurred during land acquisition by ensuring: 1) resolution of any land use conflicts identified through environmental and social impact assessments, 2) addressing land use grievances raised by community leaders, local government, or NGOs, and 3) compliance with Free, Prior, and Informed Consent (FPIC) processes, where applicable.
This is N/A if there were no land use conflicts raised during thehighlighted requirements of the land acquistion process.</t>
  </si>
  <si>
    <t>Where documentation is not mandatory or captured, official confirmation from either the local authority or customary leader is required to demonstrate land use conflicts concerning the land acquisition process have been addressed.</t>
  </si>
  <si>
    <t xml:space="preserve">In accordance to the Tirana Declaration (2011), land grabbing is defined as satisfying one or more of the following: i) violation of human rights, in particular equal rights of women; ii) absence of Free, Prior and Informed Consent (FPIC) of the previous land owners; iii) the absence or disregard of any aspect of economic, social and environmental impact assessments, or the way there are gendered or administered to vulnerable stakeholders; iv) the absence of documented and transparent binding contracts clearly stating activities, employment  and benefit sharing; and v) the lack of effective planing, independent oversight and meaningful participation.                                                                                                </t>
  </si>
  <si>
    <t>See Committee on World Food Security (CFS) Voluntary Guidelines on the Responsible Governance of Tenure of Land, Fisheries and Forests                                          https://www.fao.org/cfs/policy-products/vggt/en/</t>
  </si>
  <si>
    <t>The farm management must have a process in place to take action to implement mitigation measures following the social and environment impact assessment for new land acquisition and busines soperations.
This is N/A if there is no new land acquisition or business operations scheduled during the three-year audit cycle.</t>
  </si>
  <si>
    <t>This can be done by the farm management group on a landscape level.</t>
  </si>
  <si>
    <t>To ensure that the negative impacts identified from social and environmental impact assessments for new land acquisition or business operations are mitigated before starting activities, the following should be covered: 1) Risk and Impact Assessment: identify key environmental and social risks from the intended activities, such as land use change, biodiversity, water, pollution, climate risks, worker vulnerability, and communities, 2) Action Plan: develop a plan with roles, timelines, and monitoring to reduce or mitigate identified risks before starting activities, and 3) Monitoring and Reporting: monitor and report on whether mitigation measures have had the intended effect or may need to be adapted before starting activities.</t>
  </si>
  <si>
    <t>Show that the farm has a clear understanding of:
- the laws and regulations for growing GMOs in the region of production 
- the customer requirements 
and holds all of the relevant permits and licences, including ensuring all varieties planted are approved for cultivation.
Demonstrate that: 
- the farm keeps accurate records of all fields used for growing GMOs   
- the farm communicates to direct clients about the GMO status of the supplied products.</t>
  </si>
  <si>
    <t>Have evidence that the farm maintains appropriate buffer zones between conventional and GMO crops. Have evidence of how seeds, produce and grafted materials are handled, appropriately segregated and stored in accordance with any relevant legislation and given guidelines.</t>
  </si>
  <si>
    <t>The farm has sought information about the varieties available and is able to create a case for the selection against other available varieties. 
This is N/A where no commercial options exist for your selected crop.</t>
  </si>
  <si>
    <t>Varieties include seed and planting material as well as grafting material. 
An informed choice can take into account any of the below:
- Yield performance;
- Disease resistance of the varieties (resistance or tolerance to commercially important pests and diseases);
- Adaptation to local climatic and geographic conditions;
- Soil characteristics and crop rotation;
- Customers' requirements;
- Pest, disease and weed pressure;
- Fertilization needs;
- Water needs;
- Genetic diversity on the farm;
- Impacts on the adjacent cultivated area;
- Recommendations by extension officers;
- Results from variety trials.</t>
  </si>
  <si>
    <t>Have a system in place to enable traceability back to the source of purchased planting/grafting materials and what quality indicators are considered. Be able to provide written evidence to show the providence of the crop being grown, which may be empty seed packages, plant passports, packing lists, invoices, etc.</t>
  </si>
  <si>
    <t>Any purchased planting/grafting material should be certified and you should keep copies of phytosanitary certificates and International Seed Analysis (ISTA) Certificates if they are available. 
You should ensure the quality of any saved seed by preventing contamination by pernicious weeds, pests or pathogens. 
Examples of propagation material include seed, spore, vegetative cutting and rootstock.                                                                                     
High quality means the source of the material should be able to ensure good survival and germination rates and homogeneous characteristics.</t>
  </si>
  <si>
    <t xml:space="preserve">Documentary evidence could include:
1. Variety name, variety vendor (variety source and batch number if applicable).
2. Location, date of planting/ sowing, and quantity used per area.
3. Copies of phytosanitary certificates and/or International Seed Analysis (ISTA) Certificates where available.
4. Records of purity &amp; germination testing if it has been carried out on saved seed.
Any of the above could be part of a regional or national disease prevention plan. 
Where applicable, documentation should comply with relevant legislation.
</t>
  </si>
  <si>
    <t xml:space="preserve">See FSA23.                                                                              
Examples include seed, spore, vegetative cutting and rootstock.                                                                                     </t>
  </si>
  <si>
    <t>Be able to demonstrate the substrate used is of high quality. 
This is N/A if no substrate is used for nursery or commercial production.</t>
  </si>
  <si>
    <t xml:space="preserve">Definition of high quality: 
Substrate to be free of potential contamination and pathogens, and possess favourable and consistent characteristics, i.e. good moisture retention capacity, specified nutrient content and high organic matter content. 
The main types of growing media used in horticulture are: peat, bark, coir, composted green waste, loam, rockwool, wood wastes, perlite and foam.
Sustainable sources of peat:
The use of peat as a substrate is not permitted unless it is Responsibly Produced Peat (RPP) certified or equivalent,  with written evidence documenting: 
- the source of the peat
- that the peat extraction was undertaken legally and did not involve the destruction of high conservation value ecosystems
If no alternative to peat is available, attempts must be made to minimise the use of peat as a horticultural substrate (e.g. for tomato seedlings) by reducing the volume of soil required or mixing peat into other substrates. If peat is used, document the source of the peat and ascertain that peat extraction was undertaken legally and did not involve the destruction of high conservation value ecosystems.
No soil should be taken from local nature reserves, riverbanks or land set aside for conservation.
</t>
  </si>
  <si>
    <t>https://www.responsiblyproducedpeat.org/</t>
  </si>
  <si>
    <t>Be able to show areas on the farm where seedlings are grown and hardened off.
This is N/A if no nursery production takes place on your farm.</t>
  </si>
  <si>
    <t>Young plantlets are more susceptible to climatic stress and pest and disease loading. Could be a source of cross-contamination.  Aim to physically separate by distance or enclosed production.</t>
  </si>
  <si>
    <t>Have a clear strategy for deciding upon the optimum seed rate/ plant population showing aims of optimising profitability whilst considering yield, quality, return on investment and environmental impact.
This is N/A for trees and other perennials under an extensive farming system.</t>
  </si>
  <si>
    <t xml:space="preserve">The choice of plant spacing can take into account any of the following:
- Minimise the use of plant protection inputs and fertiliser leakage
- Optimise yield per hectare
- Optimise crop quality and homogeneity
- Facilitate harvest
Intercropping (planting two or more crops in proximity) and companion planting could be considered to improve and stabilise farm income and benefit biodiversity. 
See FSA22.                                                                                </t>
  </si>
  <si>
    <t>Present a clear soil management plan which identifies the major risks to soil and the suitability of the land for its intended use based on soil type, topography, organic carbon levels, risk of erosion, compaction, salinisation/desertification, and actions to be applied on the farm to maintain/ improve the soil health.
The records of the soil management plan should be kept for at least 2 years.
This is N/A for crops grown in substrate.</t>
  </si>
  <si>
    <t>Soil health includes physical, chemical and biological aspects. This includes at least two of the examples below:
1. Minimise movement/traffic on land when it is wet and monitor movement/traffic to minimise compaction. 
2. Minimise tillage to preserve structure.
3. Retain or return crop residues to the field to uphold long-term organic matter level in the soil. 
4. Application of organic manure and compost.
5. Use of cover crops.
6. Avoid excessive use of agrochemicals.
7. Manage soil humidity by maintaining drains in wet climates and in dry conditions by soil moisture conservation practices, e.g. rainwater harvesting or mulching.</t>
  </si>
  <si>
    <t xml:space="preserve">Adopt the use of soil amendments as part of the soil management plan to improve the physical, biological and chemical health of the soil. Be able to provide evidence of approaches taken on the farm.
</t>
  </si>
  <si>
    <t xml:space="preserve">The addition of amendments to the soil: 
-	Improve soil structure 
-	Increase the ability to absorb nutrients 
-	Make the soil more resilient to changes or shocks (such as heavy rain or drought) 
-	Increases the capacity for carbon sequestration 
-	Enables base cation saturation ratio (BCSR) optimisation
Examples of soil amendments include:
-	Gypsum - improves aeration of heavy soils
-	Lime or sulphur, pH optimisation </t>
  </si>
  <si>
    <t>Show that crops are grown in rotation or that the farm uses a mixed cropping system. 
This is N/A for trees, other perennials or crops grown in substrate.</t>
  </si>
  <si>
    <t xml:space="preserve">Rotation of annual crops helps to improve soil structure and is an important part of an integrated pest management programme. The sequence of crops in a rotation should also be planned to avoid leaving soils unprotected at times of maximum rainfall or high winds, which can cause loss of top soil by erosion.
For crop rotations, a farm should aim for a minimum of three species over a three-season cycle, ideally with one leguminous (nitrogen-fixing) crop. 
Mixed cropping systems may be limited to certain times of the year or early crop cycle for perennials due to potential conflict of interest over the different management practices, i.e. different PPP spray programmes. </t>
  </si>
  <si>
    <t xml:space="preserve">Be able to demonstrate how you determine the type, quantity and application method of fertiliser to be applied, and show that this includes consideration of increasing nutrient efficiency and reducing negative environmental and social impacts. 
Where there is no formal list of approved fertilisers, the farm can rely on a recommended list provided by service providers or other qualified persons or experienced practitioners.
 </t>
  </si>
  <si>
    <t xml:space="preserve">All sources of fertilisers and manures, including soil amendments used to improve soil health, should be provided with their specification, i.e. nutrient content or percentage, net weight, heavy metal contaminants (where applicable), and material safety data sheet (where applicable).  
Fertilisers and manures are used efficiently and don’t harm the environment </t>
  </si>
  <si>
    <t>Manure management is complex and there are risks associated with poor management. It is therefore recommended to:
•	Regularly check effluent, slurry tanks and slatted tanks to avoid overflow. 
•	Ensure proper maintenance and repair of all slurry storage tanks, pipework and valves. 
•	Spread livestock slurries and manure only when field and weather conditions are suitable to prevent water pollution.
•	Keep manure and slurry covered as much as possible to prevent methane and nitrous oxide emissions. 
•	Respect local rules and regulations</t>
  </si>
  <si>
    <t xml:space="preserve">Keep records of all fertiliser and manure applications made, recording the type of fertiliser and quantity used and demonstrating compliance with local legislation, where applicable.
</t>
  </si>
  <si>
    <t xml:space="preserve">The records can include: 
- location, 
- crop type, 
- application method, 
- date of application, 
- product trade name, 
- composition, 
- product, 
- product quantity used per area, 
- operator name.
</t>
  </si>
  <si>
    <t xml:space="preserve">Soil sampling is undertaken on a regular basis and the results retained for future reference. The frequency is determined by relevant legislation and industry guidelines. Where not specified, aim for a minimum once per ten years.                                                                               This can be done by the farm management group on a landscape level as long as consideration of different soil types and profiles are taken into account.                                                                 </t>
  </si>
  <si>
    <t>Soil sampling includes:
1. Soil samples are collected to give a representative sample (at least one per field) and sent for analysis of organic matter, extractable P, extractable K, pH and, where appropriate, exchangeable micro nutrients.
2. Soil analysis is done before planting new crops on a field and the analysis is repeated rotationally for arable crops and regularly for perennial crops, at least every five years or as recommended by a specialist.
3. Records of soil sampling are kept and used to develop and then monitor nutrient and soil management plans.</t>
  </si>
  <si>
    <t>A crop nutrient management system must be in place, which aspires to optimise all nutrient supply whilst balancing this with nutrient offtake when the crop is harvested. Records of all fertiliser and manure applications made should be kept.</t>
  </si>
  <si>
    <t>The 4 Rs stand for right source, right rate, right time, and right place and serve as a guide to the management practices that help keep nutrients on and in the field.
It is recommended that records be kept for 5 years.</t>
  </si>
  <si>
    <t>https://4rplus.org/nutrient-management/</t>
  </si>
  <si>
    <t>Demonstrate measures adopted to reduce reliance on off-farm fertiliser inputs. This should take into consideration losses to the environment, e.g. runoff, leaching.</t>
  </si>
  <si>
    <t xml:space="preserve">Examples of measures include:                                                                                         
- Use of leguminous (nitrogen-fixing) crops, cover crops or companion cropping                                                                                           
- Use of trees in production areas                                        
- Incorporation of crop residue                                                                                   
- Use of plant symbionts, i.e. mycorrhyzae
- Incorporation of nitrogen rich manures
- Use of precision placement technology                                                                    
- Avoid surface applications during rains
- Split applications                                                                                                         </t>
  </si>
  <si>
    <t>Demonstrate how all plant protection products used are officially registered in country for use on the specific crop.</t>
  </si>
  <si>
    <t>The plant protection product must be legally registered by an official government body and specific for the crop intended.                           
Extrapolation:                                                                                                               
This is the process by which an approved PPP in one country or crop may be consequently approved by another country or for another crop. This practice exists in some countries that do not have their own system of pesticide testing and rely on those of other countries.                                                                                        
Concerning the approval of PPPs for a new or minor crop, this is the practice in which a crop similar to another one that already has approval is added to the approved crops list.                                                         
In both cases, an official government body needs to grant the necessary authorisation.</t>
  </si>
  <si>
    <t xml:space="preserve">Demonstrate how you meet MRL legislation of destination markets where it differs from national MRLs.
This is N/A if your product is either sold domestically and/or exported to countries where the maximum residue levels (MRLs) are fully harmonised with local MRLs, and where your clients do not impose any trading restrictions.
 </t>
  </si>
  <si>
    <t xml:space="preserve">Where end user customers or country are known, ensure appropriate PPPs are used and meet MRL requirements of the market.
</t>
  </si>
  <si>
    <t>Be able to show that PPPs are purchased from trustworthy and licenced sources.</t>
  </si>
  <si>
    <t>The farm has detailed spray records showing the PPPs used, the reason for selection and details about the application.</t>
  </si>
  <si>
    <t>Reasons for the use of a PPP can be the suitability for the crop and target organism, resistance management programmes and the environmental advice on the label. 
Records made should include:
-	 The licenced source of the PPP 
-	 Reason for spraying 
-	 Trigger for spraying (action threshold or other)
-	 Formulated product name
-	 Active ingredient
-	 Concentration of active ingredient in formulated product
-	 Total amount of formulated product used
-	 Product quantity used per area sprayed
-	 Type of sprayer/ applicator
- Weather conditions, especially wind (direction)
-	 Date, harvest interval and permissible harvesting date</t>
  </si>
  <si>
    <t>Be able to demonstrate systems are in place to ensure that PPPs reach all targeted areas whilst preventing harm to people and the environment by minimising losses to non-target areas or to the atmosphere.</t>
  </si>
  <si>
    <t xml:space="preserve">Non-target crops, species or areas are those that are not the focus of crop protection measures. Appropriate measures considered may include:
- Buffer strips or natural buffer zones (NBZs)
- Hedges
- Spraying under good weather conditions 
- Selecting the correct nozzle and water volumes
- Avoid spraying near buildings                                                                                          
- Avoid spraying near watercourses                                                                                                                                                                                                                              
- Avoid spraying near waterbodies                                                                               
- Avoid spraying during pollination                                                                            
- Avoid spraying near or in NBZs or protected areas    </t>
  </si>
  <si>
    <t xml:space="preserve">Be able to:
- Demonstrate that appropriate PPE is readily available for all who need it 
- Demonstrate that the PPE is clean of hazardous substances and in good condition 
- Ensure that workers are using them correctly  </t>
  </si>
  <si>
    <t>PPE provision must be fit-for-purpose against the hazards highlighted in the respective material safety data sheet (MSDS) for PPPs and other hazardous substances.</t>
  </si>
  <si>
    <t>Not applicable where plant protection products (PPPs) are purchased on a need-to-basis, and there is no requirement of on-farm storage.</t>
  </si>
  <si>
    <t>Have a clear procedure for the washing and cleaning of PPP application equipment and the disposal of empty containers. Be able to show how water used to wash out the applicator and containers is disposed of in a manner that does not compromise either food safety or the environment. Also be able to show how empty containers are stored in a secure location, avoiding exposure to people or packaging materials and contamination of the environment.
Farms shall comply with legislation or, in its absence, industry guidelines. This task can be assigned to approved subcontractors.</t>
  </si>
  <si>
    <t>Examples of equipment are: sprayers, Personal Protective Equipment (PPE), measuring equipment.
Where applicable, empty PPP containers, once cleaned, shall be adequately stored, labelled, handled, and disposed of according to the requirements of any official collection and disposal schemes. Otherwise, use a disposal method that complies with applicable legislation and avoids exposure to people and the contamination of the environment.</t>
  </si>
  <si>
    <t>Procedures can be explained verbally or assessed on-the-job.</t>
  </si>
  <si>
    <t>Principles of integrated pest management (IPM) include:
- evaluating pest levels 
- evaluating all available pest control options (disease, insect &amp; weed control) 
and selecting a crop protection method that maximises human safety, minimises environmental impact, is economically justifiable and prevents food safety risks. 
IPM combines non-chemical control methods and rational pesticide use. This includes biodiversity-based Integrated Pest Management as part of your crop protection activities.
As part of IPM, farmers are encouraged to create biodiversity habitats, e.g. field margins or beetle banks, that may attract natural enemies of pests and diseases and contribute to their control by biological rather than chemical means. Farmers are also encouraged to keep honey bees.</t>
  </si>
  <si>
    <t>The farm is able to recognise pest, diseases and weeds and has defined economic thresholds for action, e.g. through warning systems or on-farm monitoring/scouting programmes for the crop in place.                                                                          Maintain records to show implementation of identification and threshold measures.</t>
  </si>
  <si>
    <t>Have crop monitoring systems and records in place to demonstrate that all non-chemical control measures, e.g.
- choice of disease and pest resistant crop/variety;
- use of crop rotations;
- mechanical and physical methods of crop husbandry (mechanical, weeding, trimming and pruning);
- biological pest control measures; and
- good fertiliser and irrigation practices have been exhausted.  
Records reference established pest, disease and weed thresholds, threshold warnings and local weather conditions.
Justification is included in crop monitoring and PPP authorisation records.                                         
Authorisation is to be made by a qualified source.</t>
  </si>
  <si>
    <t>Know where you generate waste on‐site (i.e. from which activities and processes); the type of waste and its hazard(s); the quantity of waste; and how the waste needs to be managed. 
Keep paperwork to show all waste is handled and disposed of in accordance with any regulations. 
Show that all waste storage facilities are assessed for risks, considering the guidance notes and additional notes for hazardous materials.</t>
  </si>
  <si>
    <t>Thresholds can be explained verbally or through on-the-job assessment.</t>
  </si>
  <si>
    <t xml:space="preserve">Show that all waste storage facilities are assessed for risks, considering the following:
1. Location of storage (e.g. distance from housing, water channels and conservation areas)
2. Does the storage need to be secured?
3. Capacity of the storage
4. Is the storage appropriately built to contain the waste?
5. Storage of waste is segregated (e.g. hazardous from non-hazardous, waste is not stored with non-waste)
6. Procedures are in place to contain spills
In addition, for hazardous materials the following applies:
1. Pesticides and other inorganic waste that are not recyclable, including chemical and toxic substances, are not burned but are handled according to local regulations and guidelines. 
2. Used containers which have held hazardous substances, e.g. plant protection products and antimicrobials, are disposed of in a proper manner and are never used to store water, food or feed.
3. Hazardous materials are disposed of in a way that avoids soil and water contamination. 
If legislation allows, the surplus spray and wash water from agrochemicals can be applied over an untreated part of the crop, as long as the recommended dose is not exceeded and records are kept as if it was a normal application.
Waste disposal contractors, local authorities, or recycling businesses are more prepared to take waste materials from well-managed stores.
Waste could include:
- Obsolete fertilisers and pesticides and empty containers
- Plastic, paper and metal waste
- Fuel and oil residues
- Carcasses (in the case of mixed farms)
- Redundant equipment and machinery
Hazardous waste is considered to be:
- Obsolete pesticide residues and their containers
- Sewage
- Other chemical and toxic substances, such as heavy metals, polyaromatic hydrocarbons (PAHs), veterinary medicines and harmful bacteria. 
agrochemicals refer to chemical pesticides, herbicides, fungicides, rodenticides, fertilisers, and thinning or crop setting agents. 
Mitigating measures may include:
- One designated responsible person for proper handling of waste.
- Good inventory management that supports awareness about the amount and location of on-farm waste. 
- Well-constructed and locked storage facilities.
</t>
  </si>
  <si>
    <t xml:space="preserve">Have a waste management plan in place designed to minimise waste. Show that you implement the best option for the management of each waste stream and have designed a system to reduce, reuse and recycle waste.
</t>
  </si>
  <si>
    <t xml:space="preserve">Show consideration for: 
- Waste prevention
- Waste reduction
- Re-use and recycling options already in place and those under investigation
- Routes of energy recovery 
- Disposal for other waste. Waste is any substance or object which the holder discards or intends to or is required to discard (European Commission).
Aspects to consider:
- Paper and cardboard
- Plastic
- Glass
- Metal  
- Grease and oil   
Examples of re-use include: 
- Treatment of timber with old oil  
Procurement shall take into consideration end-of-life use and recycling limitations. Whatever cannot be reused or recycled due to municipal limitations needs to be disposed of or buried in a safe and responsible manner.                                         </t>
  </si>
  <si>
    <t>Be able to demonstrate how the farm manages crop residues.</t>
  </si>
  <si>
    <t>Retaining stubble and crop residues helps hold the soil together and covers the surface with a water-permeable layer, helping reduce water flow and runoff, and provides a good source of carbon to help improve soil structure and nutrients as part of a nutrient management plan.
Aspects to consider:                                                                                            
- Crop residue                                                                                    
- Crop losses                                                                                                                                                                                                                                                             
- Pruned organic matter                                                                      
- On-farm postharvest losses                                                                                                      
- On-farm by-products                                                                                                                            
Examples of re-use include:                                                                                                                               
- Composting                                                                               
- Soil conditioning                                                                        
- Animal feed                                                                                          
- Energy, i.e. biomass briquettes, firewood                                                                                               
- Biogas (anaerobic) production                                                                                  
- Use of fibres for construction                                                                           
Where there is a risk of disease transmission, organic matter may be destroyed. This needs to be justified and recorded.    
Contamination can be avoided by removing infested or diseased plant material from the field or by chopping and burying it in the soil and disinfecting pruning and propagation equipment.</t>
  </si>
  <si>
    <t xml:space="preserve">https://www.wrap.org.uk/sites/files/wrap/Food_Waste_Reduction_Roadmap_Grower_guidance_for_hand-harvested_crops.pdf                         https://www.wrap.org.uk/sites/files/wrap/Food_Waste_Reduction_Roadmap_Grower_guidance_for_machine-harvested_crops.pdf      </t>
  </si>
  <si>
    <t xml:space="preserve">Soil organic content is important for green water management. Show evidence of having adopted farming practices to improve moisture retention capacity of the soil and minimise runoff of rainwater.      </t>
  </si>
  <si>
    <t xml:space="preserve">Green water is the largest freshwater resource and the basis of rain-fed agriculture. Green water is the rainfall on land that does not run off or recharge the groundwater but is stored in the soil or vegetation (water holding capacity).
Measures to optimise green water use include:
- Use of contouring or terracing                                                                                       
- Avoid surface runoff                                                         
- Improved infiltration                                                                                                                                                 
- Improved moisture retention capacity                                                                                    
- Use of buffer or grass strips                                                     
- Use of ground cover, mulch or crop residue                                                                                          
- Use of trees in production areas                                                       
It is recognised that in humid regions, there will be limited application, where focus is likely to be on drainage. The main opportunity here is improving infiltration and moisture retention capacity.                         </t>
  </si>
  <si>
    <t>Demonstrate any systems in place for collecting rainwater from roofs of farm buildings, which provides an alternative source of water, as well as potentially reducing the volume entering the slurry storage / effluent systems.
This is N/A if there is no runoff or access to other forms of surplus water to collect at any given time of the year.</t>
  </si>
  <si>
    <t xml:space="preserve">Water harvesting can be important for providing a sustainable source of water and is often used in arid, semi-arid or semi-humid areas for supplementing rain-fed agriculture. Examples include:                                                                                             
- Rainwater harvesting from buildings                                                     
- Surface runoff collection                                                                                                                                                                                      
- Groundwater recharge                                   </t>
  </si>
  <si>
    <t>Be aware of any legal requirements to hold permits for blue water use and show that you hold relevant extraction licences.
This is N/A where there are no legal permits needed.</t>
  </si>
  <si>
    <t>In order to compensate for water deficiency, irrigation water is supplied to the fields from various blue water sources such as streams/ rivers, lakes, reservoirs or groundwater aquifers.
To ensure that not too much water is applied, it is important to comply with any available regulations. If extraction permits are required, advice on extraction must be sought from water authorities or a relevant consultant. Water extraction licences, where required, must be complied with and be available if requested.
In the absence of any such requirements, consideration must be given to downstream communities to ensure the farm is not putting them in a water stressed state.</t>
  </si>
  <si>
    <t>Have records of blue water use and how the farm complies with water extraction licences, where required.
This is N/A where there are no legal total or peak extraction volumes.</t>
  </si>
  <si>
    <t xml:space="preserve">Provide evidence of water quality analysis for all of the different water sources and, where necessary, any treatment required to bring it into compliance for crop water and soil requirements.
</t>
  </si>
  <si>
    <t>This can be done on a landscape level as long as the risk assessment considers all potential sources of water and crops.</t>
  </si>
  <si>
    <t xml:space="preserve">Irrigation water quality must be monitored and managed where necessary to avoid crop or soil damage. Sources of water must be regularly analysed for their microbiological, chemical and mineral content, and properly managed in accordance with the analysis results. Such analysis can be done for a group of farms that are using the same water source(s).
For high risk crops, i.e. leafy salads and other crops eaten raw, use the following guidelines:                                                                                                                 
- E. coli: ND                                                                                            
- Faecal coliforms: ND                                                                          
For low risk crops:                                                                                    
- E. coli bacteria: ≤ 1,000 cfu / 100ml                                                                                     
- Faecal coliforms: ≤ 1,000 cfu / 100ml                                                       
Chemical and physical parameters:                                   
The following parameters may have a potential impact on yield. In the absence of any relevant legislation, please refer to specific crop guidelines and irrigation system for tolerance levels of the following:                                                                             
- Electroconductivity (salinity)                                                                                  
- Water infiltration rate                                                                                                
- Ion toxicity, i.e. sodium, chloride, boron                                                                                              
- Nitrates, sulphates                                                                                   
- Bicarbonates                                                                                      
- Alkalinity and pH, i.e. 6.0 to 8.5                                             
Frequency of water testing to be risk-assessed based on crop choice and processing and [consistency of] water source(s). </t>
  </si>
  <si>
    <t xml:space="preserve">http://www.fao.org/3/T0234E/T0234E01.htm#ch1.2                                        https://onlinelibrary.wiley.com/doi/pdf/10.1002/0470031344.app3                                                                         </t>
  </si>
  <si>
    <t>Show records of water used. The records must include the information listed in the guidance notes.
Records should be available for the last five years.</t>
  </si>
  <si>
    <t>These records include:
1. Date of irrigation
2. Quantity of water used
3. Type of irrigation system used
4. Location of use/target crop
5. Purpose of water
6. Origin of the water (groundwater, rainfall, surface water, etc.)
7. Records of rainfall
Records should be available for the last five years.</t>
  </si>
  <si>
    <t xml:space="preserve">Have an irrigation management plan which is updated at least once a year and considers the points in the guidance notes. 
</t>
  </si>
  <si>
    <t>Able to explain their plan verbally.</t>
  </si>
  <si>
    <t>1. The timing and amount of irrigation in relation to crop requirements.
2. The added value of irrigation in relation to the yield and quality of crops produced.
3. Predicted rainfall and evaporation, using either daily rainfall records or weather forecasts to plan irrigation schedules.
4. An inventory of water resources. This includes at least two of the conditions below:
    a. Avoiding depletion of water sources beyond the recharge capacity of the watershed/ catchment.
    b. Cooperation with other water users in the catchment to balance the needs.
    c. Diversification of the sources of water to reduce impact and to ensure water access continuity across seasons.</t>
  </si>
  <si>
    <t>Be able to demonstrate that the farm takes measures to protect surface and groundwater from direct pollution from wastewater.
Confirm where wastewater is generated on the farm, from which activities and processes. Assess:
- the volume of wastewater generated
- what the wastewater contains 
- where and how it is discharged.      
Identify options for managing the wastewater generated and show that you have any relevant permits/licences and  that conditions are met.</t>
  </si>
  <si>
    <t>Examples of greywater include:                                                                                           
- Product washing                                                                                           
- Equipment washing, including chemical rinsate                                                                                            
- Industrial processing                                                                                 
- Runoff from fertilisers and PPPs                                                                                              
- Irrigation backflush                                                                                
- Kitchen and office facilities                                                                                                                              
Examples of preventative measures include:                                                                                         
- Grass strips                                                                                                             
- Buffer strips or natural buffer zones (NBZs)                                                                                                                        
- Grassed watercourses                                                                            
- Fertiliser and PPP storage design and location                                                                                                                                                  
- Dilution of backflush water prior to discharge                                                                                           
- Water treatment plants                                                                   
Wastewater, where required, needs to be treated and brought into compliance with relevant legislation or, in its absence, WHO wastewater standards, before reusing or discharging.                                                                                  
WHO Wastewater Guidelines:                                                   
In the absence of relevant legislation, use the following guidelines:                                                                           
- pH: 5.5 to 9.0                                                                             
- Total Soluble Solids: ≤ 50 mg/L                                         
- Biological Oxygen Demand (BOD): ≤ 150 mg/L                              
- Grease and oils: ≤ 50 mg/L                                                       
Risk assess fertiliser and PPP levels.</t>
  </si>
  <si>
    <t>https://www.gov.uk/guidance/rules-for-farmers-and-land-managers-to-prevent-water-pollution</t>
  </si>
  <si>
    <t xml:space="preserve">Where greywater is being recycled, show what treatment processes are in place, where necessary, and verify the recycled water:
- volume,                                                                                              
- intended use, and                                                                             
- water quality test results.  
This is N/A if no greywater is generated from farming operations.          </t>
  </si>
  <si>
    <t xml:space="preserve">The scope and frequency of greywater testing shall be risk-assessed and may need to be tested for: enteric pathogens, biocides, detergents and/or boron. 
Depending on wastewater quality and recycling application, give consideration to treatment where necessary to bring into respective water quality parameters.  
Examples of recycling include:                                                                                 
- Return to a nearby waterbody                                         
- Irrigation of crops                                                                                                   
- Water for poultry and livestock                                                        
- Washing vehicles, machinery and equipment                                                                                
- Water for toilet cisterns                                                 
- Wetting dusty footpaths or roads                                                                  </t>
  </si>
  <si>
    <t xml:space="preserve">It is important that blackwater has been assessed and managed in accordance with relevant legislation and industry guidelines.
Be able to show that any blackwater treatment units are suitably placed away from watercourses to ensure  sewage containing pathogens does not enter the food chain. Maintain records detailing the process undertaken and volumes of water treated. </t>
  </si>
  <si>
    <t>Where there is a lack of sanitation in a farming community, the use of pit latrines can be adopted. However, they must be fully lined if there is a risk of groundwater contamination or runoff. Consideration must be given to spent pits.</t>
  </si>
  <si>
    <t xml:space="preserve">Blackwater can be used for irrigation and other uses but only after extensive and careful treatment to remove or nullify the harmful pathogens and bacteria. 
Treatment methods make use of physical, biological and chemical methods to treat the solid and liquid organic and inorganic waste.
The different types of blackwater treatment include:
- Septic tanks
- Cess pools
- Soil drain fields
- Chemicals
- Biodigesters
- Composting toilets 
- Blackwater recycling systems
Blackwater does not refer to animal manure. </t>
  </si>
  <si>
    <t>Provide historic and current aerial or satellite imagery that illustrates no primary forest, mangrove, wetland, peatland, protected grassland or legal reserve has been destroyed since 31.12.2015. If no aerial or satellite imagery is available, the provision of a map or other documentation that delineates the area of the farm and any protected areas should be provided as evidence. 
For deforestation or conversion of land after 2015, there is no compensation or remedial action permitted to access the FSA.</t>
  </si>
  <si>
    <t>Primary forest/wetland/peatland: Areas that show no or minimal disturbance by people and/or demonstrate the diversity, structure and ecological services of a mature forest, etc. for that region. Natural disturbances like natural fires or windstorms do not convert primary forests, etc. into secondary forests, etc.</t>
  </si>
  <si>
    <t>Ensure that valid and uncontested legal land titles for the certified farm area are available and provide legal evidence that the planned or past land-conversion into agricultural land is officially approved.
This is N/A if there is no cleared grassland, deforested secondary forest or protected areas on or adjacent to your land.</t>
  </si>
  <si>
    <t>Protected areas include national parks, wildlife refuges, biological corridors, forestry reserves, buffer zones or other public or private biological conservation areas.
If the farm is located next to such protected areas, it is recommended that you establish and maintain buffer zones. These zones should consist of permanent native vegetation with trees, bushes or other types of plants in order to promote biodiversity, minimise any negative visual impacts and reduce the drift of agrochemicals, dust and other substances coming from agricultural or processing activities.
Primary forest: Forest that shows no or minimal disturbance by people and/or demonstrates the diversity, structure and ecological services of a mature forest for that region. Natural disturbances like natural fires or windstorms do not convert primary forest into secondary forest. Secondary forest is any forest that is not primary forest.</t>
  </si>
  <si>
    <t>Provide evidence such as aerial or satellite images or maps to show the location, width and management of buffer zones adjacent to watercourses and protected areas.</t>
  </si>
  <si>
    <t xml:space="preserve">If you are located adjacent to watercourses or protected areas, it is recommended that you establish and maintain natural buffer zones (NBZs). These NBZs should consist of permanent native vegetation with trees, bushes or other types of plants in order to promote biodiversity, minimise any negative visual impacts and reduce the drift of agrochemicals, dust and other substances coming from agricultural or processing activities. NBZs should be subject to little to no disturbance.                                                                                                                                         Where watercourses or protected areas are not present on or adjacent to your land, identify alternative priority areas that could benefit from habitat protection or restoration.
The size of the NBZ will depend on many factors such as ground cover and slope, but as a general guidance, the width should be at least three metres or as defined by relevant legislation.  </t>
  </si>
  <si>
    <t>Provide evidence of the measures adopted to manage field margins and boundaries.</t>
  </si>
  <si>
    <t>Field margins and boundaries are managed with minimal and appropriate use of fertiliser or plant protection products (PPPs). Inspection and spot control of invasive weeds is carried out as appropriate. Grass verges and strips should not be cut during flowering and cut as infrequently as possible, unless a public road safety concern. Traffic on field margins and boundaries should be kept to a minimum.                                                                 
Ditches and drains should not be reprofiled during bird nesting periods and only undertaken on one side or limited sections in a given year.</t>
  </si>
  <si>
    <t>These are systems in which trees, hedgerows and agricultural/horticultural crops and/or livestock are produced on the same piece of land. These systems provide co-benefits, including additional sources of farm income, carbon sequestration in trees and soil organic matter, protection against wind erosion, improved water management and provision of habitats for beneficial insects, pollinators, birds, and other species. Local knowledge of the ecology and land requirements must be considered in the selection of trees and crops for optimal results. Shade trees in coffee and cocoa, or alleys of trees planted in a field within another cropping system, are common and beneficial examples.</t>
  </si>
  <si>
    <t>Provide evidence that adequate measures have been  implemented for habitat restoration and for the compensation of areas on the farm that have experienced habitat/ biodiversity loss. Where habitat restoration has taken place, provide evidence that a mitigation hiearchy has placed a priority on, in order, i) insetting: on-site within the management unit; ii) near-insetting: adjacent to the unit or iii) offsetting: where off-site mitigation benefits are compelling as compared to other options.                                                                                           This can be done on  landscape level for the farm management group.</t>
  </si>
  <si>
    <t>Restoration of vegetation is encouraged in degraded areas that have been prone to soil erosion or loss of fertility, preferably by using native species.
Compensation is with an equal ecological value, preferably confirmed by an independent expert report. This could include a larger area to be planted with mixed native species or establishment of critical wildlife corridors.</t>
  </si>
  <si>
    <t xml:space="preserve">Have a written, up-to-date biodiversity action plan (BAP) to promote biodiversity on the farm and show progress is being made to implement the plan. 
Make progress, monitor it and document it. </t>
  </si>
  <si>
    <t>The BAP sets short and mid-term aims to preserve biodiversity and prioritise activities to improve biodiversity.</t>
  </si>
  <si>
    <t>Demonstrate how the farm communicates with staff, workers, the community and any hunters allowed to use the land to ensure all activities are in accordance with relevant legislation, international conventions, customary laws and local agreements or endorsements that secure cmmunity level support for biodiversity protection.Where necessary, technical assistance  should be given to support alternative livelihoods and relieve pressure on rare, threatened and endagenered species.Examples could include securing community land tenure or direct payments for ecological services.</t>
  </si>
  <si>
    <t>Examples include:                                                                                          
- Training and awareness for employees                                                                        
- Training and awareness in the community                                                                    
- Supporting local conservation programmes                                                                 
- Site security</t>
  </si>
  <si>
    <t>Show that you have carried out an assessment of plants growing on your farm to determine the presence of any invasive species and that you are aware of potential impact to your farm, the local environment and the community.</t>
  </si>
  <si>
    <t>The International Union for Conservation of Nature (IUCN) describes invasive species as “animals, plants or other organisms introduced by man into places out of their natural range of distribution, where they become established and disperse, generating a negative impact on the local ecosystem and species.”</t>
  </si>
  <si>
    <t>http://www.iucngisd.org/gisd/
http://www.issg.org/database/welcome/</t>
  </si>
  <si>
    <t xml:space="preserve">This is N/A if burning is a legal requirement or justified for commercially-sound sanitation cultivation practices, such as crop preparation, specific to crop and production areas only. </t>
  </si>
  <si>
    <t>Fire should not be used in land preparation and post-harvest disposal of residues as this can be hazardous for workers and surrounding communities. They can also be difficult to manage, engulf areas not originally planned for burning and destroy soil organic matter, flora and fauna. 
If burning is a legal requirement, all fires must be managed carefully, making use of fire breaks and other control measures to prevent the spread of fire to non-targeted (non-production) areas and to safeguard workers and the community.</t>
  </si>
  <si>
    <t xml:space="preserve">Provide evidence that habitat restoration and compensation has taken into consideration external technical and multi-stakeholder input prior to the decision-making process. Where habitat restoration took place prior to any consultation, management has the opportunity to revisit the current status and improvement oppotunities taken through stakeholder engagement. This policy applies to restoration or other compensatory approaches that take place on or after 31.12.2024.
This is N/A if there has been no habitat restoration or compensation since 31.12.2024.
</t>
  </si>
  <si>
    <t xml:space="preserve">Restoration does not necessarily need to take place in-farm given land resources constraints. This can be done on a landscape level. </t>
  </si>
  <si>
    <t>Examples of habitat restoration and other compensation approaches to mitigate environmental impacts and restore habitats include: 1) Habitat Restoration: returning degraded habitats to their original or improved state; 2) Habitat Banking: protecting areas where credits can be sold to offset environmental impacts; 3) Wildlife Corridors: creating natural pathways to connect fragmented ecosystems; 4) Environmental Schemes: providing subsidies for biodiversity-friendly farming practices; 5) Wetland Creation: building new or improving wetlands; 6) Coastal Habitat Restoration: restoring coral reefs or mangroves; 7) Rewilding: allowing ecosystems to revert to their natural state; and 8) Biodiversity Offsetting: compensating for habitat loss by creating or restoring habitats elsewhere, ideally within the same landscape, and used as a last resort.</t>
  </si>
  <si>
    <t>Provide evidence that the farm has performed an assessment of activities to assess possible air pollution sources and determine:
- Which activities pose the greatest risk to the environment and human health.
- The air quality from any high-risk sources, or during high risk activities, is monitored.
- Any measures required to avoid, reduce or remedy the causes of air pollution are being applied.
This is N/A if your farming operations do not cause air pollution.</t>
  </si>
  <si>
    <t xml:space="preserve">An assessment of emissions to air is a detailed list of the emissions and their sources. When preparing an inventory of emissions to air, try to include emissions from all processes, ancillary activities and equipment during routine and non‐routine operations. 
Examples of air pollution include:           
- Waste storage      
- Manure storage and application
- PPP application
- Burning of crop and non-crop waste
- Dust from harvest, cultivation or transport
- Machinery exhaust fumes 
Undertake a risk assessment to determine which sources pose a problem. Take into consideration community engagement to verify whether current mitigation measures are satisfactory. Examples of mitigation measures include:
- Plan operations to minimise disturbance
- Avoid traffic at peak times
- Avoid applications during windy conditions 
- Inform the community of spray applications   
- Inform the community of fertiliser treatments    </t>
  </si>
  <si>
    <t>Show evidence that renewable sources of energy are being considered and incorporated into the farm operations. This is only applicable where the capex is economically viable form the farm.</t>
  </si>
  <si>
    <t>In the absence of certification, wood fuel is permitted only if a sustainable tree replacement and management policy is evident.                                
This can be done on a landscape level.</t>
  </si>
  <si>
    <t>The use of renewable energy on farms should be increased, where it is available and affordable.
Examples include:                                                           
- Solar panels or wind turbines for office use                                 
- Wood fuel sourced from sustainably sourced forestry management, i.e. Forest Stewardship Council (FSC) or Sustainable Forestry Initiative (SFI).                                               
- Woodchips and biomass by-products from other mills.                                                                      
- Use of crop residue and wood from pruned organic matter.</t>
  </si>
  <si>
    <t>https://www.fsc.org/en/about-us   https://www.sfiprogram.org/</t>
  </si>
  <si>
    <t xml:space="preserve">As of 01.01.2025, the farm management shall use a recognised tool to estimate kilograms of carbon equivalent per ton of product produced for the operation.  This can be organised by the coordinator on behalf of the farm management group at a landscape level.                                                                        </t>
  </si>
  <si>
    <t>This can be done on a landscape/ FMG level.</t>
  </si>
  <si>
    <t>Greenhouse gas emissions include any gases that contribute to the ‘greenhouse effect’, including carbon dioxide, nitrous oxide and methane. 
Use carbon footprint or life-cycle assessment (LCA) models to calculate your greenhouse gas emissions.</t>
  </si>
  <si>
    <t>https://coolfarmtool.org/</t>
  </si>
  <si>
    <t>Farms can adopt various nature-based carbon sequestration measures tailored to their operations. Perennialization involves integrating trees and shrubs into crop systems to store carbon in soil and biomass. Cover cropping during off-seasons improves soil organic matter, enhances carbon storage, and reduces erosion. Conservation tillage, by minimising soil disturbance, improves soil structure and promotes carbon sequestration. Rotational grazing allows pastures to regenerate, enhancing carbon capture in grasslands. Soil management practices, such as applying compost or manure, increase soil health and carbon storage. Additionally, wetland restoration, reforestation, afforestation, and peatland protection can further enhance carbon sequestration.</t>
  </si>
  <si>
    <t>natural carbon capture or sequstration excludes other GHG emissions reduction techniques, such as technological carbon capture or improvements in resource efficiency, i.e. farm inputs (fuel, nutrient, crop protection, water).</t>
  </si>
  <si>
    <t>The farm management must demonstrate what mitigation measures have been adopted to prevent the risk of GHG emissions as a result of fire.
This is N/A if a risk-assessed approach has shown there to be no significant risk of fire.</t>
  </si>
  <si>
    <t>Fire prevention measures could include any of the following: 1) Preventative Maintenance: ensure machinery and equipment are well-maintained to prevent sparks and overheating, 2) Controlled Burns: conduct prescribed burns during appropriate seasons to reduce fuel loads and wildfire risks, 3) Firebreaks: create and maintain firebreaks around production areas, 4) Proper Storage: Store fuels, chemicals, and flammable materials in designated locations, 5) Vegetation Management: regularly trim and remove dry vegetation near buildings, equipment, and crops, 6) Residue Management: collect organic residue and maintain safe moisture levels, 7) Fire Equipment: equip buildings and equipment with fire extinguishers, hoses, and blankets, 8) Emergency Response Plan: develop a plan with evacuation routes and procedures for fire incidents, 9) Weather Monitoring: track local weather conditions to inform fire safety measures.</t>
  </si>
  <si>
    <t xml:space="preserve">National and subnational fire risk data from WWF can be downloaded from https://riskfilter.org/biodiversity/explore/country-profiles </t>
  </si>
  <si>
    <t>The farm managementhas a climate-related emergency plan in place including evidence of adopting climate mitigation and adaptation measures to deal with adverse climatic conditions, i.e. inceased risk of flood or drought, increased pest and disease loading. This exercise can be done by the coordinator on behalf of the farm management group on a landscape level.</t>
  </si>
  <si>
    <t>The farm or its recruitment agency must show how all permanent, temporary and seasonal workers have a legal right to work.</t>
  </si>
  <si>
    <t>Copies of any legally required documents such as a passport, ID, right to work documentation, work permits, etc. are kept on farm or, where applicable, by the recruitment agency.                                                       
Original documents are not permitted to be withheld.                                                                               
Recruitment agencies need an official licence to operate.</t>
  </si>
  <si>
    <t xml:space="preserve">Show an awareness of the risk of forced or bonded labour and be able to describe measures the farm undertakes to prevent it. 
Be able to present evidence to show that all permanent, temporary and seasonal workers are treated equally and with respect and dignity. Have evidence of hiring policies and procedures used to demonstrate that workers are entering into employment freely and are never prevented from leaving if they so wish. </t>
  </si>
  <si>
    <t>This includes:
1. The farm (or its recruiting agency or labour provider if relevant) does not charge workers fees for the job they are offered that require them to be in debt to the farm (or agency), or to be compelled to work for the farm (or recruiting agency) or prevented from leaving solely to pay off the debt.
2. The farm does not withhold any part of any worker’s salary, benefits, property or documents (e.g. identity cards and travel documents) in order to force such workers to continue working for them.
3. Workers are allowed to leave the farm’s premises at the end of their shifts.
4. The farm (or its recruiting agency if relevant) does not participate in or allow human trafficking or any other form of Modern Slavery. 
[Reference: ILO Conventions C29 and C105]</t>
  </si>
  <si>
    <t>https://www.ilo.org/dyn/normlex/en/f?p=NORMLEXPUB:12100:0::NO:12100:P12100_INSTRUMENT_ID:312174:NO
https://www.ilo.org/dyn/normlex/en/f?p=NORMLEXPUB:12100:0::NO:12100:P12100_INSTRUMENT_ID:312250:NO</t>
  </si>
  <si>
    <t>Ensure the farm's policies and procedures on hiring labour are fully understood by the recruitment agency used and be able to verify they are in compliance with the policies. The recruitment agency does not charge fees to secure employment contracts in accordance with national laws, collective agreements and the provisions of the relevant ILO conventions.
Provide evidence of a written contract and documented oversight mechanisms in place to ensure the labour provider is:  
- Compliant with applicable legal requirements and, if available, licenced or certified by the competent national authority,
- Not engaged in fraudulent or coercive recruiting practices,
- Compliant with all worker related requirements, and
- All recruitment fees are paid by the farm, not by workers.</t>
  </si>
  <si>
    <t>https://www.ilo.org/dyn/normlex/en/f?p=NORMLEXPUB:12100:0::NO:12100:P12100_INSTRUMENT_ID:312240:NO</t>
  </si>
  <si>
    <t>Be aware of and demonstrate compliance with national laws, collective agreements and the provisions of the relevant ILO Conventions with respect to worker welfare, employment rights and how you apply this across the farm business.</t>
  </si>
  <si>
    <t>This includes providing workers with clear information about payment received for their work and their employment conditions.
ILO Convention C110.</t>
  </si>
  <si>
    <t>Have clear policies that show all workers are treated equally, with respect and dignity. Be able to highlight actions taken to protect the rights of any worker considered vulnerable to discrimination and be able to show there is a zero tolerance policy for intimidation, with appropriate investigative or disciplinary action when reported or observed.</t>
  </si>
  <si>
    <t>Smallholders must understand that discrimination is not acceptable.</t>
  </si>
  <si>
    <t>Permanent and temporary workers refers to all workers hired directly and through subcontractors.
No worker should be subject to any physical, sexual, psychological or verbal harassment, abuse or other form of intimidation.
Discrimination is not permitted on the basis of gender, ethnic background, national origin, religion, disability, sexual orientation, pregnancy, worker organisation membership or political affiliation with regard to contracts, compensation, training, promotion, dismissal or retirement. 
ILO Convention C100.</t>
  </si>
  <si>
    <t>https://www.ilo.org/dyn/normlex/en/f?p=NORMLEXPUB:12100:0::NO:12100:P12100_INSTRUMENT_ID:312245:NO</t>
  </si>
  <si>
    <t>The farm has clear policies and procedures stating permanent, temporary and seasonal workers are not required to work more than the regular and overtime hours in accordance with national laws, collective agreements and the provisions of the relevant ILO Conventions. 
In the absence of applicable laws or collective agreements, normal working hours shall not on a regular basis exceed a maximum of 48 hours per working week, or 60 hours per working week including overtime, and employees shall be allowed at least one day of rest in every seven day period.</t>
  </si>
  <si>
    <t>ILO Conventions: C001 and C014.                                              
The total number of hours worked in any seven-day period (basic + overtime) shall not exceed 60 hours, except under exceptional circumstances, where: 
- This is legally permitted
- This is allowed by collective agreement                                                                                  
- Appropriate safeguards are in place                                                
In addition, the employer must be able to demonstrate that exceptional circumstances apply, i.e. seasonal peaks in production, accidents or emergencies.</t>
  </si>
  <si>
    <t>https://www.ilo.org/dyn/normlex/en/f?p=NORMLEXPUB:12100:0::NO:12100:P12100_INSTRUMENT_ID:312146:NO
https://www.ilo.org/dyn/normlex/en/f?p=NORMLEXPUB:12100:0::NO:12100:P12100_INSTRUMENT_ID:312159:NO</t>
  </si>
  <si>
    <t>Facilities are provided for all permanent, temporary and seasonal workers and there is a policy allowing for regular breaks in accordance with national laws, collective agreements and the provisions of the relevant ILO conventions.</t>
  </si>
  <si>
    <t>Training and awareness can be managed by the FMG. This can be assessed via worker interviews.</t>
  </si>
  <si>
    <t xml:space="preserve">Shelter and accommodation for breaks is needed if there is a risk of exposure to unpleasant weather conditions (e.g. heat, cold, high winds, heavy rain) or to prevent exposure to hazards, such as spray drift. The shelter may be in the form of tree canopy or vehicles, but if they are not sufficent the farm should consider using moveable shelters or windbreaks. In areas where conditions can be extreme, or there are serious risk from other factors, such as lightning, it may be more desirable to consider adjusting the working patterns as well as the provision of shelters. 
Wherever possible, workers should have access to sanitary facilities and the opportunity to wash their hands after using the toilet or before eating. The minimum requirement would be a jug of clean water and some soap. 
Clean drinking water must be available and easily accessible to workers.
WHO potable water quality parameters:
E. coli: ND
Faecal coliforms: ND      
Chlorine or other disinfectant residue: ≤ 0.5mg/L
pH: 6.5 to 8.5
Sodium: ≤ 20 mg/L
Nitrates: ≤ 10 mg/L
Sulphates: ≤ 250 mg/L
Turbidity: ≤ 5NTU                                                                         </t>
  </si>
  <si>
    <t xml:space="preserve">https://www.who.int/water_sanitation_health/publications/drinking-water-quality-guidelines-4-including-1st-addendum/en/                                                 
ILO Convention C120
https://www.ilo.org/dyn/normlex/en/f?p=NORMLEXPUB:12100:0::NO::P12100_INSTRUMENT_ID:312265
ILO Recommendation R192
https://www.ilo.org/dyn/normlex/en/f?p=NORMLEXPUB:12100:0::NO::P12100_ILO_CODE:R192 
</t>
  </si>
  <si>
    <t xml:space="preserve">Show clear policies for deciding on overtime and securing worker consent. 
Be able to present evidence showing all overtime is on a voluntary basis and fairly remunerated. </t>
  </si>
  <si>
    <t>The agreement may be verbal.</t>
  </si>
  <si>
    <t>Overtime work is voluntary and only permitted if:
-	 It is requested in a timely manner.
-	 It is paid in accordance with national laws, collective agreements and the provisions of the relevant ILO Conventions. If there is no law, it is paid at least 1.5 times the regular wage level. 
-	 It does not impose an increased health and safety risk. Accident rates during overtime periods must be monitored and overtime reduced if accident rates are higher during overtime work periods than during periods of regular work hours.
-	 Workers have safe transport home after work.
-	 The total working week does not exceed 60 hours per week. Exceptional circumstances only applicable for farms: In exceptional circumstances, where there is a risk of losing harvest and for a maximum period of 12 weeks per year, the overtime may be up to 24 hours total per week, and workers may work a maximum of 21 consecutive days.
-	 Workers have at least a 30-minute break after a maximum of six consecutive hours of work and have a minimum of 10 consecutive hours of rest per 24 hour-period.
-	 A record of the number of regular hours and overtime hours of each worker is kept.
ILO Convention: C001.                                                                    
See FSA84.</t>
  </si>
  <si>
    <t>https://www.ilo.org/dyn/normlex/en/f?p=NORMLEXPUB:12100:0::NO:12100:P12100_INSTRUMENT_ID:312146:NO</t>
  </si>
  <si>
    <t>Have a farm policy and be able to present evidence that shows all permanent, temporary and seasonal workers are provided in a timely and convenient manner with a total compensation package that includes wages, overtime payments, benefits and paid leave. The package should meet or exceed the legal minimum standards/appropriate prevailing industry standards, whichever is higher, and any  terms established by legally binding collective bargaining agreements.</t>
  </si>
  <si>
    <t>https://www.ilo.org/dyn/normlex/en/f?p=NORMLEXPUB:12100:0::NO:12100:P12100_INSTRUMENT_ID:312240:NO           
https://www.ilo.org/dyn/normlex/en/f?p=NORMLEXPUB:12100:0::NO:12100:P12100_INSTRUMENT_ID:312276:NO</t>
  </si>
  <si>
    <t xml:space="preserve">All deductions are clearly shown and legally-mandated. Ensure all other deductions from wages are made only with the express and written consent of the worker and there are no illegal/ excessive deductions or fees for items such as deposits for accommodation, tools or personal protective equipment. </t>
  </si>
  <si>
    <t>This can be explained verbally or via worker interviews.</t>
  </si>
  <si>
    <t>Have a clear policy on the various types of leave in accordance with national laws, collective agreements and the provisions of the relevant ILO Conventions and provide evidence to show how the policy has been applied on the farm.
This is N/A if there is no legal requirement for paid vacation, parental leave and sickness benefit.</t>
  </si>
  <si>
    <t xml:space="preserve">Records of employment should include details of leave entitlement and the amount of leave taken.
Paid Leave: ILO Convention C132.                                                              
Maternity Leave: ILO Convention C183.                                     
Sickness Benefit: ILO Convention C130.                                 </t>
  </si>
  <si>
    <t xml:space="preserve">https://www.ilo.org/dyn/normlex/en/f?p=NORMLEXPUB:12100:0::NO:12100:P12100_INSTRUMENT_ID:312277:NO                          
https://www.ilo.org/dyn/normlex/en/f?p=NORMLEXPUB:12100:0::NO:12100:P12100_INSTRUMENT_ID:312328:NO                          
https://www.ilo.org/dyn/normlex/en/f?p=NORMLEXPUB:12100:0::NO:12100:P12100_INSTRUMENT_ID:312275:NO                                             </t>
  </si>
  <si>
    <t xml:space="preserve">The farm ensures compensation terms are established by legally binding collective bargaining agreements and all permanent, temporary and seasonal workers are paid a fair wage that is equal to, or above, the national legal minimum standard or in accordance with appropriate industry standards, whichever is higher. </t>
  </si>
  <si>
    <t>Living wage is defined as the remuneration received for a standard work week by a worker in a particular place sufficient to afford a decent standard of living for the worker and his or her family. Elements of a decent standard of living include food, water, housing, education, health care, transportation, clothing and other essential needs, including provision for unexpected events.</t>
  </si>
  <si>
    <t>https://www.globallivingwage.org/
https://www.idhsustainabletrade.com/living-wage-platform/
https://livingwage.mit.edu/</t>
  </si>
  <si>
    <t>Be able to show the farm policy on medical leave and protections in case of illness, disability or accident, and evidence of how this is implemented on the farm.
This is N/A if there is no legal requirement.</t>
  </si>
  <si>
    <t>Compensation may include:
- Continuing to pay a worker's wage whilst he/she is ill
- Compensating the worker's family
ILO Convention C025.</t>
  </si>
  <si>
    <t>https://www.ilo.org/dyn/normlex/en/f?p=NORMLEXPUB:12100:0::NO:12100:P12100_INSTRUMENT_ID:312170:NO</t>
  </si>
  <si>
    <t>Information is provided to all permanent, temporary and seasonal workers about available options for health care. 
This is N/A where there is presence of state-provision health care.</t>
  </si>
  <si>
    <t>This could be in the form of a booklet, e-learning or presentation and describes any health care services available to employees, such as farm level agreements with a local doctor or recommendations made by the farm.  
Health insurance can include:
- Long term compensation in case of disability
- Payment of medical costs
Support may include:
- Creating awareness about available insurance
- Providing information about available insurance
- Subsidising the costs, either wholly or partly, of insurance
ILO Convention C102.</t>
  </si>
  <si>
    <t>https://www.ilo.org/dyn/normlex/en/f?p=NORMLEXPUB:12100:0::NO:12100:P12100_INSTRUMENT_ID:312247:NO</t>
  </si>
  <si>
    <t>Develop policies and procedures that demonstrate a worker’s right to freedom of association, trade union membership and collective bargaining. Show that these are recognised and respected on the farm and workers are not intimidated or harassed in exercising their right to join or refrain from joining any organisation.
This is N/A if there are government imposed restrictions on freedom of association.</t>
  </si>
  <si>
    <t>Freedom of association is the right of employees to establish and to join organisations of their own choosing without any prior authorization or interference. 
Negotiations between employers and a group of employees about working conditions are considered collective bargaining.
Reference: ILO Conventions C87,  C98, C135.</t>
  </si>
  <si>
    <t>https://www.ilo.org/dyn/normlex/en/f?p=NORMLEXPUB:12100:0::NO:12100:P12100_INSTRUMENT_ID:312232:NO                                         
https://www.ilo.org/dyn/normlex/en/f?p=NORMLEXPUB:12100:0::NO:12100:P12100_INSTRUMENT_ID:312280:NO</t>
  </si>
  <si>
    <t>Worker representatives are able to talk to employees and have reasonable access to company facilities and documents required to fulfil their duties. Ensure that a worker’s choice to form, or join, a trade union will not compromise their equal treatment at work.
This is N/A if labour organisations do not exist for your industry.</t>
  </si>
  <si>
    <t>Workers' Representation: ILO Convention C098.                                                           
Collective Bargaining: ILO Convention C154.</t>
  </si>
  <si>
    <t>https://www.ilo.org/dyn/normlex/en/f?p=NORMLEXPUB:12100:0::NO:12100:P12100_INSTRUMENT_ID:312243:NO                                                https://www.ilo.org/dyn/normlex/en/f?p=NORMLEXPUB:12100:0::NO:12100:P12100_INSTRUMENT_ID:312299:NO</t>
  </si>
  <si>
    <t>Have clear policies and procedures and be able to show:
- All permanent, temporary and seasonal workers are treated fairly, with respect and dignity. 
- The farm prohibits any kind of harassment, intimidation, bullying or abuse, including the threat of physical punishment or disciplinary action.
- No worker is discriminated against in any aspect of employment.
- All permanent, temporary and seasonal workers have the right to freely practice their religion or fulfil needs relating to cultural background, disability, gender or sexual orientation.
In articular, attention must be paid to the rights of workers most vulnerable to discrimination.</t>
  </si>
  <si>
    <t>ILO Convention C111.</t>
  </si>
  <si>
    <t>https://www.ilo.org/dyn/normlex/en/f?p=NORMLEXPUB:12100:0::NO:12100:P12100_INSTRUMENT_ID:312256:NO</t>
  </si>
  <si>
    <t>The farm has transparent, fair and confidential procedures that provide effective, accessible channels for workers to complain, lodge grievances and make suggestions. The processes in place will ensure the matter is fully investigated and will result in swift, unbiased and fair resolution.</t>
  </si>
  <si>
    <t xml:space="preserve">Complaints and grievances (including complaints of a sexually abusive, coercive or threatening nature) must be investigated fully, without bias, and without the person who raised the concern being victimised. To help encourage fast decision-making, a timeframe should ideally form part of the procedure, ensuring all parties responsible in the process are aware of their required commitment to meet deadlines. The process and decisions made must follow an unbiased and fair approach that does not favour individuals and achieves outcomes acceptable given the gravity of the matter.
Workers should be aware of and have ready access to information and procedures on how to lay a complaint, lodge grievances and make suggestions that are handled confidentially and do not result in retaliation. There should also be a mechanism where this can be done anonymously to protect the individual worker.
ILO Recommendation R130.                                      
</t>
  </si>
  <si>
    <t>https://www.ilo.org/dyn/normlex/en/f?p=NORMLEXPUB:12100:0::NO:12100:P12100_INSTRUMENT_ID:312468:NO</t>
  </si>
  <si>
    <t>The farm has transparent, fair and confidential procedures that provide effective, accessible channels for workers to complain, lodge grievances and make suggestions. The processes in place will ensure the matter is fully investigated and will result in swift, unbiased and fair resolution. The scope of the grievance mechanism to include working conditions.</t>
  </si>
  <si>
    <t xml:space="preserve">The training plan and worker training records must show that training is a continuous process, so as to retain and revise skills and bring in new workers to ensure skills and knowledge are not lost. Training can be in any format such as e-learning, group events or one-to-one advice sessions. 
The training records should include:
- the topic covered
- the trainer
- the date
- list of attendees
- evidence of attendance.
</t>
  </si>
  <si>
    <t>Where workers have poor reading skills or do not read the local language, have a system in place so information is provided in such a way that it is understood by all workers.
This is N/A if the primary language and ethnicity is common to the entire permanent, temporary and seasonal workforce.</t>
  </si>
  <si>
    <t>Where workers cannot communicate either verbally or in written form proficiently in the dominantly spoken language, measures to effectively engage them must be sought, such as the services of an interpreter.
Ensure procedures and warning signs are easily understood by all workers by incorporating different languages and making best use of pictograms. As part of an induction training programme, ensure all workers understand what the signs mean.</t>
  </si>
  <si>
    <t xml:space="preserve">Have a clear policy and be able to provide evidence to show the farm adheres to applicable laws and regulations concerning minimum working age, prohibiting the employment of people below the age of 15 (subject to exceptions permitted by national law or ILO Conventions 138 and 182). </t>
  </si>
  <si>
    <t>A child is a person under 15 years of age. There are two exceptions to this definition (in accordance with ILO 138): 
1. Where the local minimum age, under the law, for work or compulsory education is higher. In these cases, the higher age is applicable. 
2. Where the local law sets a minimum age of 14 in accordance with developing-country exceptions under ILO Convention 138 (… for some nations whose economy and educational facilities are insufficiently developed, they may specify a minimum age of 14 years). In this case the lower age will apply. 
ILO Recommendation R052: Minimum Age (Family Undertakings).                                                                 
Minors involved in family undertakings are excluded from this scope except in the case of work which, by its nature or the circumstances in which they are carried on, is deemed dangerous to their physical, mental or moral well-being.</t>
  </si>
  <si>
    <t>https://www.ilo.org/dyn/normlex/en/f?p=NORMLEXPUB:12100:0::NO:12100:P12100_INSTRUMENT_ID:312283:NO                         
https://www.ilo.org/dyn/normlex/en/f?p=NORMLEXPUB:12100:0::NO:12100:P12100_INSTRUMENT_ID:312390:NO</t>
  </si>
  <si>
    <t>Have a policy clearly stating that individuals under the age of 18 are not allowed to carry out work in dangerous or unhealthy conditions that could result in death, injury or illness and be able to provide evidence to show the application of the policy. 
This protection should also preclude them from certain types of work, such as working with hazardous materials or working at night.</t>
  </si>
  <si>
    <t>When young workers are employed it is important to limit their employment during typical resting hours and ensure no exposure to working conditions that are likely to jeopardise their mental, physical or moral development.
ILO Conventions C077 and C182.                                                              
All minors, including minors involved in family undertakings, shall avoid:                                                                                          
- Excessive work (max. 14 hrs per wk)                                                                                                 
- Overtime
- Night work                                                                                          
- Work that interferes with their schooling
- Work that adversely affects their well-being                                                                                               
- Working in or exposure to unhealthy situations                                                                                                                                                                                     
- Work with hazardous substances                                                                                    
- Work with dangerous equipment                                                                                       
- Lifting or carrying heavy loads</t>
  </si>
  <si>
    <t>https://www.ilo.org/dyn/normlex/en/f?p=NORMLEXPUB:12100:0::NO:12100:P12100_INSTRUMENT_ID:312327:NO                      https://www.ilo.org/dyn/normlex/en/f?p=NORMLEXPUB:12100:0::NO:12100:P12100_INSTRUMENT_ID:312222:NO</t>
  </si>
  <si>
    <t xml:space="preserve">Be able to demonstrate all minors on the farm are enrolled in a recognised schooling programme.
This is N/A if you do not have children working or living on the farm. </t>
  </si>
  <si>
    <t>When young workers are employed it is important to promote their development by allowing them access to education, whether this is attending school or receiving schooling at home as part of a recognised programme.</t>
  </si>
  <si>
    <t>Clear and effective policies and procedures are in place for occupational health and safety, ensuring a safe and secure working environment.
Be able to show the risk assessments are reviewed and updated at least annually, sooner when any changes to the procedures are made that could influence the risk profile of the farm.</t>
  </si>
  <si>
    <t>Health risks may include:
- Using / applying fertiliser or chemicals (agrochemicals or other)
- Handling waste
- Using machinery
- Working circumstances (e.g. working at height)
- Fire, flood, power failure, freezing, failure of water supply
- Design and set-up of storage and workshops
ILO Convention C155 and Recommendation R194.</t>
  </si>
  <si>
    <t>https://www.ilo.org/dyn/normlex/en/f?p=NORMLEXPUB:12100:0::NO:12100:P12100_INSTRUMENT_ID:312300:NO  https://www.ilo.org/dyn/normlex/en/f?p=NORMLEXPUB:12100:0::NO:12100:P12100_INSTRUMENT_ID:312532:NO</t>
  </si>
  <si>
    <t xml:space="preserve">To help ensure the occupational health and safety policies are widely communicated, be able to show that the farm maintains a policy of ongoing safety training for all permanent, temporary and seasonal workers. Worker training records will provide evidence that training has been given and evidence of the topics covered and the course trainer.  </t>
  </si>
  <si>
    <t>Trainings can be related to general health or dangerous work: 
- First aid
- Working circumstances (e.g. working at height)
- Emergency and accident procedures
- Human health and hygiene
- Other work-related health risks
- Using fertiliser or chemicals (agrochemicals or other)
- Handling waste
- Using machinery
It is highly recommended to have a senior management representative appointed that is responsible for the implementation of the program and that the training is documented. 
ILO Convention C155.</t>
  </si>
  <si>
    <t>https://www.ilo.org/dyn/normlex/en/f?p=NORMLEXPUB:12100:0::NO:12100:P12100_INSTRUMENT_ID:312300:NO</t>
  </si>
  <si>
    <t xml:space="preserve">Have provision for first aid training and first aid kits in the workplace. Be able to show that workers have access to someone adequately trained in first aid and first aid kits stocked in accordance with: 
- local recommendations  
- the health and safety risks identified on the farm. </t>
  </si>
  <si>
    <t>ILO Convention C161.</t>
  </si>
  <si>
    <t>https://www.ilo.org/dyn/normlex/en/f?p=NORMLEXPUB:12100:0::NO:12100:P12100_INSTRUMENT_ID:312306:NO</t>
  </si>
  <si>
    <t xml:space="preserve">Have a return to work policy after injury or illness so workers do not put themselves, the safety of colleagues or food safety at risk. Be able to show evidence of how this is applied on the farm, possibly as part of the workers' records. </t>
  </si>
  <si>
    <t>Maintain records of accidents and incidents on the farm with notes of any treatment given and any corrective action undertaken to reduce the risk of a similar event. Whilst this could be a verbal account, it is better if it is a written report.</t>
  </si>
  <si>
    <t xml:space="preserve">An accident is an unplanned event that results in personal injury or property damage. </t>
  </si>
  <si>
    <t>Except for lawful drug testing, have a policy stating non-job-related medical testing as a condition of employment is not undertaken. 
Show that the farm offers regular health checks (at least annually) performed by a trained professional for workers who do hazardous work or perform strenuous physical activity.</t>
  </si>
  <si>
    <t xml:space="preserve">There are a number of different forms of employee health screening, including:
Pre-employment health checks:                                                    
This is offered to new or seasonally-recruited employees to identify any underlying health issues that may have specific work-related implications or require the employer to provide support.
Health surveillance:                                                                   
Ongoing health checks that may be legally required for workers exposed to particular risks in the workplace. This includes health checks, which may be state-provided, for general well-being.   
For users of PPPs or other hazardous substances, it is recommended that testing is done at least annually.                                                                                                                                          </t>
  </si>
  <si>
    <t>Emergency contact details shall be provided in all respective languages used to communicate to and by permanent, temporary and seasonal workers and, where possible, using large, visible signage strategically displayed in key positions around the farm and in farm vehicles.</t>
  </si>
  <si>
    <t>This does not need to be displayed as long as the farmer has details readily accessible.</t>
  </si>
  <si>
    <t>The procedures shall identify the following:
-	 The farm's map reference and/or farm address
-	 Contact person(s)
-	 An up-to-date list of relevant phone numbers (police, ambulance, hospital, fire-brigade, access to emergency health care on site or by means of transport, supplier of electricity, water and gas)
ILO Convention C155.</t>
  </si>
  <si>
    <t>Farm policy should clearly state that individuals under the age of 18, those suffering from chronic or respiratory diseases and pregnant/ nursing women are not allowed to carry out work in dangerous or unhealthy conditions that could result in death, injury or illness. This protection should preclude them from working with hazardous materials, and worker records should clearly show to whom the policy is applicable. 
This is N/A if no PPPs or other hazardous substances are handled on the farm.</t>
  </si>
  <si>
    <t xml:space="preserve">ILO Convention C170.                                                                                               
Workers must be fully informed of the risks and preventative measures made available to them for protecting their health.  Workers, in particular vulnerable or immunocompromised individuals, are permitted to remove themselves from certain operations where the risk, after safety precautions are considered, remains significant. They shall not be discriminated against for their decision.                                                                             
Examples of vulnerable or immunocompromised individuals include minors, pregnant and nursing women, and those suffering from chronic or respiratory diseases. </t>
  </si>
  <si>
    <t>https://www.ilo.org/dyn/normlex/en/f?p=NORMLEXPUB:12100:0::NO:12100:P12100_INSTRUMENT_ID:312315:NO</t>
  </si>
  <si>
    <t xml:space="preserve">Be able to show that permanent, temporary and seasonal workers and their families, visitors and subcontractors have access to water, sanitation and hygiene facilities on the farm. </t>
  </si>
  <si>
    <t xml:space="preserve">Workers shall have access to water during their working shifts. Where the temporary place of work is a long distance from the water source, provision shall be made for water carriers.                                                                                                                                                                                                                                                                                                                                                                                                                                                                                                                                                                        ILO Convention C110 (plantation workers).                               
ILO Recommendation R164 (general workers).                                               
WHO potable water quality parameters:
E. coli: ND
Chlorine or other disinfectant residue: ≤ 0.5mg/L
pH: 6.5 to 8.5
Sodium: ≤ 20 mg/L
Nitrates: ≤ 10 mg/L
Sulphates: ≤ 250 mg/L
Turbidity: ≤ 5NTU                                                                                                                                                                                                                                                                                                                                                                                                                                                                 Hand washing:                                                         
Appropriate hand washing facilities include safe water, anti-bacterial soap, and hand drying.                         
Workers operating in remote or temporary locations must be able to bring potable water and soap with them. 
 </t>
  </si>
  <si>
    <t>https://www.who.int/water_sanitation_health/publications/drinking-water-quality-guidelines-4-including-1st-addendum/en/                                                                                    https://www.ilo.org/dyn/normlex/en/f?p=NORMLEXPUB:12100:0::NO::P12100_INSTRUMENT_ID:312255                                                  https://www.ilo.org/dyn/normlex/en/f?p=NORMLEXPUB:12100:0::NO::P12100_ILO_CODE:R164</t>
  </si>
  <si>
    <t>Be able to show that on-farm living quarters offered to permanent, temporary and seasonal workers: 
- are habitable and structurally safe, 
- have provision for hygienic food storage and preparation,
- have cooking facilities with suitable ventilation,
- and have the basic services of drinking water, toilets, and drains. In the case of no drains, septic pits can be accepted if compliant with local regulations.
This is N/A if permanent, temporary or seasonal workers, or their families, do not rely on accommodation provided by the farm.</t>
  </si>
  <si>
    <t>Workers and their families that are housed or lodged on-site have safe, clean and decent living quarters, taking into consideration local conditions.
Location and construction:
-	 Safe construction in a good state of repair and positioned to minimise the impact of air pollution and surface runoff
-	 Protection against weather and extreme climate conditions such as flooding
-	 Not used to store any hazardous materials
-	 Separate from working/production areas
Health and hygiene:
-	 Availability of enough and safe drinking water (see guidance notes FSA 107)
-	 Adequate sanitary and washing facilities
-	 Adequate closed-sewage or pit latrines, sanitation and rubbish (garbage) disposal facilities in place 
-	 Provision for hygienic food storage and preparation 
-	 Cooking areas with smoke ventilation
-	 Enough lighting (daylight and artificial)
-	 Pest control; absence of rats, mice, insects, and vermin, or conditions that favour their populations that could cause disease or carry parasites that function as vectors of disease
Comfort and decency:
-	 Families of permanent workers with children have separate rooms from the non-family member workers
-	 Workers’ children live together with their parents and are not separated
-	 Workers’ children living on-site are in a safe place and under the supervision of an adult during working hours
-	 In group accommodations for individual workers, safety and privacy of vulnerable groups are ensured by providing separate personal sleeping areas and washing facilities for men and women, as stated in local laws
-	 Electricity (in-house or nearby) is available, if available in the area
-	 All appliances must be electrical safe</t>
  </si>
  <si>
    <t>https://www.who.int/water_sanitation_health/publications/drinking-water-quality-guidelines-4-including-1st-addendum/en/                                                                                    https://www.ilo.org/dyn/normlex/en/f?p=NORMLEXPUB:12100:0::NO::P12100_ILO_CODE:R120</t>
  </si>
  <si>
    <t xml:space="preserve">Show that there is a training policy to educate all permanent, temporary and seasonal workers of the importance of good hygiene in preventing the spread of disease between colleagues and preventing the contamination of harvested crops. Worker training records will provide evidence of the training given, the topics covered and the course trainer.  </t>
  </si>
  <si>
    <t>See FSA106.</t>
  </si>
  <si>
    <t xml:space="preserve">Communication may manifest in several forms, including but not limited to induction training, employee handbooks, staff notifications, worker representative meetings, internal and external reporting mechanisms, including sustainability, financial and non-financial annual reports. Language and cultural barriers should be taken into account.                                                                                                                                      </t>
  </si>
  <si>
    <t>The farm management shall have processes in place to monitor and identify improvement opportunities of working conditions.</t>
  </si>
  <si>
    <t>Withholding legal document, i.e. ID, passports, driving licences, for punitive or force labour measures is prohibited.</t>
  </si>
  <si>
    <t xml:space="preserve">Where countries have either not ratified ILO 87 or ILO 98 or prohibit or impair organising or the furthering and defending the interests of workers, the farm management shall facilitate the parallel means to the right to freedom of association to the best of its ability given the prvailing political situation.
This is N/A if freedom of association is already a requirement and implemented by law. </t>
  </si>
  <si>
    <t xml:space="preserve">ILO Convention C087 and                                                  Workers' Representation ILO Convention C098.  </t>
  </si>
  <si>
    <t xml:space="preserve">https://www.ilo.org/dyn/normlex/en/f?p=NORMLEXPUB:12100:0::NO:12100:P12100_INSTRUMENT_ID:312232:NO                                         https://www.ilo.org/dyn/normlex/en/f?p=NORMLEXPUB:12100:0::NO:12100:P12100_INSTRUMENT_ID:312280:NO                      </t>
  </si>
  <si>
    <t xml:space="preserve">The farm management shall have processes in place to identify, respect and uphold the rights of indigenous people during the land acquisition process and during business operations.
This is N/A if farm management has consulted with local authorities, engaged with community leaders, or connected with indigenous or non-governmental organisations to confirm that no indigenous community is present or affected by operations in the area.
</t>
  </si>
  <si>
    <t>When indigenous peoples are directly or indirectly affected by business operations, companies can demonstrate their commitment to upholding their rights through the following measures: 1) Diversity and Inclusion Policy: establish policies that outline the goals and strategies for hiring indigenous employees, 2) Recruitment Initiatives: develop targeted recruitment efforts that respect the rights of indigenous peoples and communities, 3) Community Engagement: actively engage with indigenous communities to understand their needs, 4) Partnerships: collaborate with indigenous training programmes or educational institutions to create workforce pathways, 5) Cultural Awareness Training: provide training for all employees on indigenous cultures to foster an inclusive environment, 6) Supportive Work Environment: implement policies that support indigenous employees, including flexible scheduling and recognition of cultural events, and 7) Feedback Mechanisms: establish systems for Indigenous employees and communities to share their experiences and suggestions for improvement.</t>
  </si>
  <si>
    <t xml:space="preserve">ILO Convention 169.   https://normlex.ilo.org/dyn/normlex/en/f?p=NORMLEXPUB:12100:0::NO::P12100_ILO_CODE:C169 </t>
  </si>
  <si>
    <t>The farm management must have a process to assess the potential adverse impacts that its products, services, business operations, and relationships may have—both directly and indirectly—on the human rights of its workers and the surrounding community. This includes evaluating how the company's activities could affect labour rights, such as fair wages, safe working conditions, and the right to organise. Additionally, it should address the impact on local communities, including access to essential resources, environmental health, and cultural rights. By prioritising a comprehensive human rights assessment, the firm can ensure that it upholds ethical standards and fosters positive relationships with its stakeholders, ultimately contributing to sustainable development and social equity.</t>
  </si>
  <si>
    <t>This can be done at an FMG level.</t>
  </si>
  <si>
    <t>New farming operations can significantly affect human rights in several ways. They can impact access to resources such as the labour pool (including local workers, minors, and migrants), water availability and quality, and grazing rights. Additionally, these operations may disrupt local food systems, jeopardising food and nutrition security, and contribute to agricultural pollution. They can also lead to the erosion of cultural or historical sites and adversely affect social cohesion by creating disparities in benefit distribution and wealth inequality.</t>
  </si>
  <si>
    <t>The ESMS shall reflect the nature and scale of business operations and their social and environmental impact. This can be done by the farm management group on a landscape level.</t>
  </si>
  <si>
    <t>The ESMS as a minimum should include 1) Policy: establish a formal Environmental and Social Policy to demonstrate commitment to manage impacts, ensure compliance, and drive continuous improvement, 2) Environmental and Social  Impact Assessment: identify key environmental and social risks, such as land use, biodiversity, water, pollution, climate risks, worker vulnerability, and communities, 3) Action Plan: develop a plan with roles, timelines, and monitoring to reduce or mitigate identified risks, 4) Organisational Capacity: ensure adequate resources, structure, and training at the farm or FMG level for ESMS implementation, 5) Stakeholder Engagement: engage stakeholders, including communities and workers, in decision-making, 6) Monitoring and Reporting: continuously monitor and report performance using defined indicators, 7) Emergency Preparedness: create plans to respond to environmental and social incidents, 8) Grievance Mechanism: provide a formal process for addressing concerns from employees and communities, and 9( Management Review: regularly review the ESMS to assess and improve performance.</t>
  </si>
  <si>
    <t>Performance Level</t>
  </si>
  <si>
    <t>Overall score</t>
  </si>
  <si>
    <t>% Yes</t>
  </si>
  <si>
    <t>of%</t>
  </si>
  <si>
    <t>% No</t>
  </si>
  <si>
    <t>Not Applicable</t>
  </si>
  <si>
    <t>% NA</t>
  </si>
  <si>
    <t>Yes &amp; NA</t>
  </si>
  <si>
    <t>Bronze</t>
  </si>
  <si>
    <t>Silver</t>
  </si>
  <si>
    <t>Gold</t>
  </si>
  <si>
    <t>Final performance index</t>
  </si>
  <si>
    <t>rest
(used in chart)</t>
  </si>
  <si>
    <t>divider</t>
  </si>
  <si>
    <t>Not
Applicable</t>
  </si>
  <si>
    <t>out of</t>
  </si>
  <si>
    <t xml:space="preserve"> / </t>
  </si>
  <si>
    <t>(Total)</t>
  </si>
  <si>
    <t>Terms referred in formulars</t>
  </si>
  <si>
    <t>Intermediate</t>
  </si>
  <si>
    <t>Advanced</t>
  </si>
  <si>
    <t>Topics</t>
  </si>
  <si>
    <t>Answers</t>
  </si>
  <si>
    <t>Not applicable</t>
  </si>
  <si>
    <t>Scoring</t>
  </si>
  <si>
    <t>All</t>
  </si>
  <si>
    <t>Not assessed</t>
  </si>
  <si>
    <t>-</t>
  </si>
  <si>
    <t>Condition</t>
  </si>
  <si>
    <t>Applicable Questions info</t>
  </si>
  <si>
    <t>One question is not applicable</t>
  </si>
  <si>
    <t>&gt;1</t>
  </si>
  <si>
    <t>questions are not applicable</t>
  </si>
  <si>
    <t>all</t>
  </si>
  <si>
    <t>All questions apply</t>
  </si>
  <si>
    <t>Levels</t>
  </si>
  <si>
    <t>White</t>
  </si>
  <si>
    <t>score comment</t>
  </si>
  <si>
    <t>100% required for bronze level</t>
  </si>
  <si>
    <t>Function:</t>
  </si>
  <si>
    <t>50% required for bronze level</t>
  </si>
  <si>
    <t>75% required for silver level</t>
  </si>
  <si>
    <t>100% required for gold level</t>
  </si>
  <si>
    <t>50% required for silver level</t>
  </si>
  <si>
    <t>75% required for gold level</t>
  </si>
  <si>
    <t>Level comment</t>
  </si>
  <si>
    <t>is currently</t>
  </si>
  <si>
    <t>target</t>
  </si>
  <si>
    <t>score</t>
  </si>
  <si>
    <t>Some essential topics are still missing.  Add them now!</t>
  </si>
  <si>
    <t>conditions:</t>
  </si>
  <si>
    <t>--&gt;</t>
  </si>
  <si>
    <t>&lt;</t>
  </si>
  <si>
    <t>Just a few intermediate questions needed to reach bronze level!</t>
  </si>
  <si>
    <t xml:space="preserve">… You are close to reaching bronze level! </t>
  </si>
  <si>
    <t>&gt;</t>
  </si>
  <si>
    <t>Congratulations! You have attained bronze level</t>
  </si>
  <si>
    <t>Just a few more advanced questions needed to reach silver level!</t>
  </si>
  <si>
    <t>…You’ve almost reached silver level!</t>
  </si>
  <si>
    <t>Congratulations! You have attained silver level</t>
  </si>
  <si>
    <t>Just a few more advanced questions needed to reach gold level!</t>
  </si>
  <si>
    <t>…You’ve almost reached gold level!</t>
  </si>
  <si>
    <t>&gt;=</t>
  </si>
  <si>
    <t>Congratulations! You have attained gold level</t>
  </si>
  <si>
    <t>FSA Overall Score</t>
  </si>
  <si>
    <t>FSA Performance Level</t>
  </si>
  <si>
    <t>FSA Scores per topic</t>
  </si>
  <si>
    <t>FARM MANAGEMENT &amp; COMMUNITY</t>
  </si>
  <si>
    <t>FSA10a</t>
  </si>
  <si>
    <t>FSA10b</t>
  </si>
  <si>
    <t>FSA11a</t>
  </si>
  <si>
    <t>FSA11b</t>
  </si>
  <si>
    <t>FSA28a</t>
  </si>
  <si>
    <t>FSA28b</t>
  </si>
  <si>
    <t>FSA28c</t>
  </si>
  <si>
    <t>FSA29a</t>
  </si>
  <si>
    <t>FSA29b</t>
  </si>
  <si>
    <t>FSA29c</t>
  </si>
  <si>
    <t>FSA29d</t>
  </si>
  <si>
    <t>FSA35a</t>
  </si>
  <si>
    <t>FSA35b</t>
  </si>
  <si>
    <t>FSA35c</t>
  </si>
  <si>
    <t>FSA35d</t>
  </si>
  <si>
    <t>FSA37a</t>
  </si>
  <si>
    <t>FSA37b</t>
  </si>
  <si>
    <t>FSA37c</t>
  </si>
  <si>
    <t>FSA39a</t>
  </si>
  <si>
    <t>FSA39b</t>
  </si>
  <si>
    <t>FSA6a</t>
  </si>
  <si>
    <t>FSA6b</t>
  </si>
  <si>
    <t>FSA43a</t>
  </si>
  <si>
    <t>FSA43b</t>
  </si>
  <si>
    <t>FSA43c</t>
  </si>
  <si>
    <t>FSA43d</t>
  </si>
  <si>
    <t>FSA46a</t>
  </si>
  <si>
    <t>FSA46b</t>
  </si>
  <si>
    <t>FSA46c</t>
  </si>
  <si>
    <t>FSA48a</t>
  </si>
  <si>
    <t>FSA48b</t>
  </si>
  <si>
    <t>FSA48c</t>
  </si>
  <si>
    <t>FSA48d</t>
  </si>
  <si>
    <t>FSA59a</t>
  </si>
  <si>
    <t>FSA59b</t>
  </si>
  <si>
    <t>FSA59c</t>
  </si>
  <si>
    <t>FSA59d</t>
  </si>
  <si>
    <t>FSA68a</t>
  </si>
  <si>
    <t>FSA68b</t>
  </si>
  <si>
    <t>FSA68c</t>
  </si>
  <si>
    <t>FSA73a</t>
  </si>
  <si>
    <t>FSA73b</t>
  </si>
  <si>
    <t>PLANT MATERIAL SELECTION &amp; PROPAGATION</t>
  </si>
  <si>
    <t>GENETICALLY MODIFIED ORGANISMS (GMOs)</t>
  </si>
  <si>
    <t>SOIL MANAGEMENT</t>
  </si>
  <si>
    <t>NUTRIENT MANAGEMENT</t>
  </si>
  <si>
    <t>CROP PROTECTION</t>
  </si>
  <si>
    <t>CHEMICAL CONTROL</t>
  </si>
  <si>
    <t>INTEGRATED PEST MANAGEMENT (IPM)</t>
  </si>
  <si>
    <t>WASTE MANAGEMENT</t>
  </si>
  <si>
    <t>WATER MANAGEMENT</t>
  </si>
  <si>
    <t>GREEN WATER</t>
  </si>
  <si>
    <t>BLUE WATER</t>
  </si>
  <si>
    <t xml:space="preserve">Do you rely on irrigation in any capacity to meet your crop water needs?                                                                                                                                If no, pre-fill N/A all BLUE WATER questions and go to sub-section GREY WATER: FSA60. </t>
  </si>
  <si>
    <t>GREY WATER</t>
  </si>
  <si>
    <t>BLACK WATER</t>
  </si>
  <si>
    <t>BIODIVERSITY</t>
  </si>
  <si>
    <t>AIR QUALITY &amp; EMISSIONS</t>
  </si>
  <si>
    <t>LABOUR CONDITIONS</t>
  </si>
  <si>
    <t>Do you directly or indirectly employ any permanent, temporary, seasonal or voluntary workers?                                                                                                                         If no, pre-fill N/A all LABOUR CONDITIONS questions and go to sub-section CHILD LABOUR: FSA96.</t>
  </si>
  <si>
    <t>CHILD LABOUR</t>
  </si>
  <si>
    <t>Do you directly or indirectly employ or rely upon any permanent, temporary or seasonal minors, including family members?                                                                                                                                                                        If no, pre-fill N/A all CHILD LABOUR questions and go to sub-section OCCUPATIONAL HEALTH &amp; SAFETY(OHS): FSA98.</t>
  </si>
  <si>
    <t>OCCUPATIONAL HEALTH &amp; SAFETY (OHS)</t>
  </si>
  <si>
    <t>GENERAL OCCUPATIONAL HEALTH &amp; SAFETY (OHS)</t>
  </si>
  <si>
    <t>Do you handle, produce or process GMOs on your land?                                                                                                                              
If no, pre-fill N/A all GMO questions and go to sub-section PLANT MATERIAL SELECTION &amp; PROPAGATION: FSA22.</t>
  </si>
  <si>
    <t>Column1</t>
  </si>
  <si>
    <t>CSDD</t>
  </si>
  <si>
    <t>VISIBLE</t>
  </si>
  <si>
    <t>visible</t>
  </si>
  <si>
    <t>Do you or your service provider use any form of fertilisers?                                                                                                                                                                                              If no, pre-fill N/A all NUTRIENT MANAGEMENT questions and go to section CROP PROTECTION: FSA38.</t>
  </si>
  <si>
    <t>Go to the "Performance" tab to review your results. This tab also identifies opportunities for you to increase your performance to the next level.</t>
  </si>
  <si>
    <t>Link</t>
  </si>
  <si>
    <t>aa</t>
  </si>
  <si>
    <t>Do you directly or indirectly employ any permanent, temporary, seasonal or voluntary workers, including family members?
If no, pre-fill N/A all OCCUPATIONAL HEALTH &amp; SAFETY (OHS) questions and go to sub-section GENERAL OCCUPATIONAL HEALTH &amp; SAFETY (OHS): FSA105.</t>
  </si>
  <si>
    <t>Do you or your service provider use any plant protection products (PPPs) for crop protection?
If no, pre-fill N/A all CHEMICAL CONTROL questions and go to sub-section INTEGRATED PEST MANAGEMENT (IPM): FSA48.</t>
  </si>
  <si>
    <t>Column2</t>
  </si>
  <si>
    <t>S</t>
  </si>
  <si>
    <t>W</t>
  </si>
  <si>
    <t>B</t>
  </si>
  <si>
    <t>C</t>
  </si>
  <si>
    <t>Impact</t>
  </si>
  <si>
    <t>Practice/Outcome Correlation</t>
  </si>
  <si>
    <t>Soil health and fertility</t>
  </si>
  <si>
    <t>Nutrient use efficiency</t>
  </si>
  <si>
    <t>Crop protection strategy</t>
  </si>
  <si>
    <t>Water use efficiency</t>
  </si>
  <si>
    <t>On-farm habitats</t>
  </si>
  <si>
    <t>Cultivated crop and pasture diversity</t>
  </si>
  <si>
    <t>Livestock waste management</t>
  </si>
  <si>
    <t>Greenhouse gas emissions</t>
  </si>
  <si>
    <t>IMPACT AREA KEY</t>
  </si>
  <si>
    <t xml:space="preserve">Practice </t>
  </si>
  <si>
    <t>Effect strength</t>
  </si>
  <si>
    <t>COLOUR</t>
  </si>
  <si>
    <t>IMPACT AREA</t>
  </si>
  <si>
    <t>29a</t>
  </si>
  <si>
    <t>Minimise soil disturbance</t>
  </si>
  <si>
    <t>+++</t>
  </si>
  <si>
    <t>~/+</t>
  </si>
  <si>
    <t>++</t>
  </si>
  <si>
    <t>+</t>
  </si>
  <si>
    <t>RED</t>
  </si>
  <si>
    <t>SOIL</t>
  </si>
  <si>
    <t>29c</t>
  </si>
  <si>
    <t>Controlled traffic farming</t>
  </si>
  <si>
    <t>BLUE</t>
  </si>
  <si>
    <t>WATER</t>
  </si>
  <si>
    <t>Soil organic matter management</t>
  </si>
  <si>
    <t>GREEN</t>
  </si>
  <si>
    <t>28a</t>
  </si>
  <si>
    <t>Cover crops</t>
  </si>
  <si>
    <t>YELLOW</t>
  </si>
  <si>
    <t>CLIMATE</t>
  </si>
  <si>
    <t>28b</t>
  </si>
  <si>
    <t>Mulching/soil residue cover</t>
  </si>
  <si>
    <t>~</t>
  </si>
  <si>
    <t>Diversified crop rotation</t>
  </si>
  <si>
    <t>Protection of on-farm habitat</t>
  </si>
  <si>
    <t>Agroforestry and silvopasture</t>
  </si>
  <si>
    <t xml:space="preserve">Integrated grazing management </t>
  </si>
  <si>
    <t>RTF 08 OR RTF 09</t>
  </si>
  <si>
    <t>Manure management</t>
  </si>
  <si>
    <t>35a AND 35b AND 35c AND 35d</t>
  </si>
  <si>
    <t xml:space="preserve">Integrated nutrient management </t>
  </si>
  <si>
    <t>48a AND 48b AND 48c AND 48d</t>
  </si>
  <si>
    <t xml:space="preserve">Integrated pest management </t>
  </si>
  <si>
    <t>59a AND 59b AND 59c AND 59d</t>
  </si>
  <si>
    <t xml:space="preserve">Irrigation management </t>
  </si>
  <si>
    <t>IGNORE</t>
  </si>
  <si>
    <t>Feed sources from sustainable sources</t>
  </si>
  <si>
    <t>Herd/flock management</t>
  </si>
  <si>
    <t>Selected Outcomes</t>
  </si>
  <si>
    <t>Practices Covered</t>
  </si>
  <si>
    <t>Impact Areas Covered</t>
  </si>
  <si>
    <t>REGEN_Highlight</t>
  </si>
  <si>
    <t>Category</t>
  </si>
  <si>
    <t>Regen</t>
  </si>
  <si>
    <t>Yes %</t>
  </si>
  <si>
    <t>No %</t>
  </si>
  <si>
    <t>Not Applicable %</t>
  </si>
  <si>
    <t>Progress Quantification</t>
  </si>
  <si>
    <t>Baseline</t>
  </si>
  <si>
    <t>Set?</t>
  </si>
  <si>
    <t>Frequency</t>
  </si>
  <si>
    <t>&gt; annually</t>
  </si>
  <si>
    <t>annually</t>
  </si>
  <si>
    <t>1-2 years</t>
  </si>
  <si>
    <t>2-3 years</t>
  </si>
  <si>
    <t>3-5 years</t>
  </si>
  <si>
    <t>Year (YYYY)</t>
  </si>
  <si>
    <t>Monitored?</t>
  </si>
  <si>
    <t>Have you established hedgerows or green buffer areas on your non-cropped land?</t>
  </si>
  <si>
    <t>Have you established riparian buffer zones alongside watercourses on your farm?</t>
  </si>
  <si>
    <t>CORRESPONDING FSA QUESTION</t>
  </si>
  <si>
    <t>REMOVE RTF 03</t>
  </si>
  <si>
    <t>Hedgerows and green buffers</t>
  </si>
  <si>
    <t>Riparian buffers</t>
  </si>
  <si>
    <t>Look at wording RTF 15</t>
  </si>
  <si>
    <t>RTF 17</t>
  </si>
  <si>
    <t>RTF 07 OR RTF 08</t>
  </si>
  <si>
    <t>Outcomes Quantified</t>
  </si>
  <si>
    <t>Outcomes Tracked</t>
  </si>
  <si>
    <t>Set</t>
  </si>
  <si>
    <t>Monitored</t>
  </si>
  <si>
    <t xml:space="preserve">Safety:                                                                                                       
A hazard analysis critical control point (HACCP) system covering the following criteria:
- physical                                                                                              
- chemical                                                                                      
- microbiological                                                                               
- allergens                                                                                               
An HACCP plan is not required if you do not produce products intended for food or feed.                                                               
Quality:                                                                  
Examples include:                                                                                        
- Harvest and postharvest protocols                                                             
- Product specifications, inc. quality &amp; condition                                                                                                </t>
  </si>
  <si>
    <t xml:space="preserve">http://www.fao.org/3/Y1579E/y1579e03.htm 
</t>
  </si>
  <si>
    <t xml:space="preserve">Traceability:                                                                                      
The traceability system must be robust enough to guarantee food safety and integrity, in accordance with relevant legislation, industry guidelines and client requirements.           </t>
  </si>
  <si>
    <t xml:space="preserve">Have a written land use assessment and be able to explain the decision-making processes in planning activities on the farm - such as national soil classification maps or other classifications. </t>
  </si>
  <si>
    <t xml:space="preserve">The assessment addresses the following typical criteria, based on current situation and potential impact caused by change in land use management:                                                                                           
- Historical and current land use                                                                                                
- Legal requirements                                                 
- Potential sources of off-farm contamination                                                         
- Water quantity, quality and availability                                                                                      
- Soil characteristics                                                                                                                
- Crop suitability                                                                                                     
- Climate change                                                                                  
- Employment and labour rights                                                                                        </t>
  </si>
  <si>
    <t>https://www.ifc.org/wps/wcm/connect/8804e6fb-bd51-4822-92cf-3dfd8221be28/PS1_English_2012.pdf?MOD=AJPERES&amp;CVID=jiVQIfe</t>
  </si>
  <si>
    <t xml:space="preserve">Have procedures in place, and be able to provide evidence, to show the approaches taken on the farm to minimise the impact on the community, ecosystems and biodiversity.
</t>
  </si>
  <si>
    <t xml:space="preserve">The assessment addresses the following typical criteria, based on current situation and potential impact caused by change in land use management:                                                                                                                                                                         
- Air, water and soil pollution                                                    
- Biodiversity, including HCV and HCS areas                                                                                                                                    
- Rare, threatened and endangered species                                                                                                                   
- Land and natural resource use rights                                                                                                                                                                                                                                        
- Tenure and conflicts                                                                                  
- Historical and archaelogical sites of interest                                                                                  
- Other possible impacts on local communities  </t>
  </si>
  <si>
    <t xml:space="preserve">The farm management is able to work with external and internal partners to mitigate risks to the farm and the community.
</t>
  </si>
  <si>
    <t xml:space="preserve">For example, if land includes conservation status area, is there an agreement with relevant authorities for its management? 
</t>
  </si>
  <si>
    <t>The farm has an investment plan and annual accounting to ensure financial viability of the business. The farmer can describe all potential risks for the land/crops and efforts to mitigate them.</t>
  </si>
  <si>
    <t xml:space="preserve">A business plan is a formal statement of your businesses goals and how these goals will be met.
The plan can include:
- Optimisation of farm inputs                                          
- Improvements to yield (quality, productivity)                                          
- Crop selection                                                                                
- Market strategy                                                             
The farm management plan is applicable to a single farm or a group of farms under one management. </t>
  </si>
  <si>
    <t>Have evidence available to show the farm monitors soil cover and uses effective land management systems to minimise erosion.</t>
  </si>
  <si>
    <t>The objective is to try to leave bare soil exposed for as little time as possible, especially at times when heavy rain is expected and the risk of erosion is increased. Examples of options include: 
- Intercropping
- Grass strips
- Maintaining cover crop as long as feasibly possible
- Planting several species between annual crops 
- Buffer strips
- Crop residue
- Mulch
- Weeds (non-competitive)
Non-native cover crop species are to be avoided with perennial systems.</t>
  </si>
  <si>
    <t>Demonstrate evidence of practices adopted to enhance soil organic matter.</t>
  </si>
  <si>
    <t xml:space="preserve">Soils with low organic matter tend to have low water holding capacity and to be low in nutrients and low in soil biodiversity, and this often results in relatively low crop yields. Improving the organic matter content can be achieved by adding bulky organic matter, for example:
- Farmyard manure (FYM)                                                                                                      
- Green manure/ cover crop                                                                                                        
- Compost, vermicompost                                                                                                                                                                                   
- Crop residue                                                                                         
- Organic mulch          </t>
  </si>
  <si>
    <t xml:space="preserve">Show the farm adopts practices to stimulate soil biological activity and thereby build up long-term soil productivity and health. </t>
  </si>
  <si>
    <t xml:space="preserve">The aim is to create a healthy, functioning soil ecosystem to support a full complement of species, including the likes of fungi, bacteria and worms. Examples include:
- Use of conservation grazing
- Minimising use of herbicides and other PPPs
- Adopting low toxic and low salinity fertilisers
- Increasing soil organic content
- Optimising C:N ratio, i.e. aim for minimum 24:1
- Avoiding water stress or saturated soil conditions </t>
  </si>
  <si>
    <t>Be aware and demonstrate evidence of practices adopted to minimise soil disturbance.</t>
  </si>
  <si>
    <t xml:space="preserve">Reducing soil disturbance improves soil structure and reduces the oxidation of organic matter, a process that causes the release of greenhouse gases. Soil disturbance can also increase risk of erosion.
Examples of approaches used to minimise soil disturbance include:                                                                                      
- Zero tillage (where possible)                                                   
- Conservation tillage                                                                                     
- Conservation grazing                                                                                                                                                                                                                     
- Crop rotation with fallow land (ground cover)                                                                                     
- Crop rotation with pasture land management                                                                                 
- Trees or other perennial crops
</t>
  </si>
  <si>
    <t xml:space="preserve">Be aware of measures that will help to avoid soil erosion, and be able to describe the measures taken.
Show that the farm has identified areas particularly susceptible to erosion, and have procedures in place that reduce the risk. Show how you monitor soil cover and effectiveness of land management systems to minimise erosion.  </t>
  </si>
  <si>
    <t xml:space="preserve">Unless the risk of soil erosion is assessed as insignificant, the risk must be managed.
Topsoil is preferentially eroded, and so the soil with good nutrient- and water-holding capacity is preferentially lost. Special attention should be paid to sloping fields and areas where the soil is exposed. Measures that minimise erosion:
- Following contours with operations for soil preparation
- Using terracing
- Using cover crops
- Maintaining a living root in the soil
- Minimising tillage
- Placing wind breaks
- Trees in agricultural production                                                                                    </t>
  </si>
  <si>
    <t>Identify areas of the farm most susceptible to compaction and demonstrate evidence of practices adopted to reduce the risk of compaction. This includes at least two of the examples below:
1. Using low pressure tyres
2. Avoiding passing of livestock and machines under wet conditions
3. Minimising passes on the field
4. Avoiding using the same trails</t>
  </si>
  <si>
    <t xml:space="preserve">Compacted soils resist root penetration, thereby limiting crop growth and development, making crops more susceptible to drought. Although animals and people can cause significant soil compaction, the most serious problems are caused by farm machinery.  
</t>
  </si>
  <si>
    <t>Identify areas of the farm most susceptible to waterlogging and adopt practices to reduce the risk of poor drainage. This may include:
- Ridging                                                                                             
- Surface drainage                                                                                       
- Subsurface drainage      
- Improved moisture retention capacity                                                                                 
- Growing hydrophilic crops                                                                                            
- Taking low productivity areas out of crop production</t>
  </si>
  <si>
    <t>Having a good green water management plan will reduce the risk of detrimental waterlogging to acceptable levels and can improve:
- Soil structure
- Crop performance
- Land accessibility
- Speed of work and energy inputs
- Environmental impact
In planning a strategy to manage water holding capacity, attention should be given to: 
- Soil type; light soils are more permeable than heavier soils
- Organic content; a general reduction in organic matter levels in soils makes them more susceptible to waterlogging
- Profile of the field</t>
  </si>
  <si>
    <t xml:space="preserve">Ensure a balanced supply of essential nutrients, considering both naturally available sources and the characteristics of specific products, selecting fertiliser sources that provide a balanced supply of essential nutrients with consideration to the crop, stage of growth, cost and climatic conditions, without compromising soil health. Examples include:                                                                            
- Avoid build-up of soil toxicity or salinity                                    
- Avoid surface applications during rains                                                                                                                                               
- Use of stabilised nitrogen or nitrogen inhibitors                                                                                                  
- Use of liquid or solution formulations        
                                                                       </t>
  </si>
  <si>
    <t xml:space="preserve">Determine crop nutrient (organic, synthetic) input requirements once soil test results and other on-farm nutrient sources, i.e. incorporation of crop residue, are factored in to ensure accounting for all nutrient sources. Consider:
- Crop needs/ plant demand                                                                                      
- Optimisation of on-farm organic matter
- Crop rotation                                                                              
- Variable rate application or technology                                                                                       
- Use of NUE or MRTN calculations     </t>
  </si>
  <si>
    <t xml:space="preserve">Make crop nutrients available at the time needed by the crop. Consideration should be factored in for inefficient uptake and potential losses to the environment. Examples include:                                                                                           
- Amending N:P:K ratios based on crop stage                      
- Foliar analysis to verify nutrient uptake                                                                                           
- Avoid surface applications during rains                                                                                                     
- Split applications                                                                                         </t>
  </si>
  <si>
    <t xml:space="preserve">Apply nutrients where they are accessible to the crop in order to avoid inefficiencies and losses to the environment. Examples include:                                                              
- Application near to or in root zone                                                                                                  
- Use of precision placement technology                                                                    
- Avoid surface applications during rains                                                           
- Split applications                                     </t>
  </si>
  <si>
    <t>Show that an overview of the fertilisers purchased and used is maintained and how this information correlates with any stocks on the farm. Ensure all fertilisers are kept in their original outer unit and a purchase and stock inventory is maintained.</t>
  </si>
  <si>
    <t>Batches of inorganic fertilser should have a clear label to ensure what is being used on the farm has the correct composition and is from a reliable source. The label should contain:
-	 Identification of the product category and differentiation between compound, blended and coated fertilisers 
-	 Quantity (in weight or volume)
-	 Relevant technical characteristics of inorganic fertiliser (macro and micro nutrient content)
-	 Batch identification code
-	 Guidelines for safe handling (provisions of the CLP legislation, where applicable) and use (including possible limitation of use in accordance with MS provisions)
-	 Where relevant, a statement about the suitability - or not - of the product for particular plant groups
-	 Name and address of the manufacturer or importer
-	 Trade name of the product
-	 Recommended conditions of storage 
-	 Recommended ‘use by’ date (expiry date)</t>
  </si>
  <si>
    <t xml:space="preserve">If fertilisers and manures are stored on farm, either temporarily or permanently, explain how they are stored safely to minimise: 
- environmental loss (preventing runoff and pollution)
- potential theft 
- human exposure where higher risk products are used (e.g. anhydrous ammonia)
</t>
  </si>
  <si>
    <t>Both inorganic and organic fertilisers (e.g. manures) must be stored to ensure nutrient-enriched water is not allowed to, either through the soil directly or through drains and soakaways, contaminate watercourses or groundwater.
Inorganic fertilisers should be stored in accordance with the material safety data sheet written for the product by the manufacturer. The location of fertiliser stores and storage sites, including uncovered storage areas, will have a minimum requirement to prevent physical cross-contamination with PPPs and other hazardous materials and protect it from sunlight, high temperatures, frost and rain.</t>
  </si>
  <si>
    <t>https://assets.publishing.service.gov.uk/government/uploads/system/uploads/attachment_data/file/268691/pb13558-cogap-131223.pdf
https://www.gov.uk/government/publications/secure-your-fertiliser/secure-your-fertiliser</t>
  </si>
  <si>
    <t xml:space="preserve">Be able to provide evidence that all relevant personnel on the farm are aware of the correct procedures for handling and applying fertilisers to the field. </t>
  </si>
  <si>
    <t>Application methods must be managed to prevent contamination of surface water from waterways, drains and runoff from irrigation systems, usually by the implementation of buffer zones (areas where no fertilisers or manures are applied).</t>
  </si>
  <si>
    <t xml:space="preserve">No Red-listed PPPs are permitted to be used.   </t>
  </si>
  <si>
    <t>Please refer to SAI Platforms 'Guidelines on the List of Red and Amber PPPs'</t>
  </si>
  <si>
    <t xml:space="preserve">The continued use of Amber-listed PPPs is permitted, as long as it satisfies the highlighted conditions of use and general and specific criteria.                               </t>
  </si>
  <si>
    <t xml:space="preserve">An action plan for Amber-listed PPPs is to be developed, showing how:                                                                                                   
- They are essential for use, or                                                                                      
- No viable alternatives are available                                                  
- They can be reduced, i.e. quantity, timing                                                                                      
- They can be replaced                                       </t>
  </si>
  <si>
    <t>Show records and be able to explain that the timing and concentration of PPP application complies with product label information.</t>
  </si>
  <si>
    <t xml:space="preserve">PPP applications comply with the statutory conditions regarding the specific crop, maximum permitted total dose, and timing and latest time of application as indicated on the PPP label or by authorised extension of use.   
Care needs to be taken when PPP approval has been granted by extrapolation as PPP label considerations are not always respected or revised by the authorisation body.                                                   </t>
  </si>
  <si>
    <t>Show records and be able to explain that the maximum authorised rates of frequency of PPP application comply with product label information.</t>
  </si>
  <si>
    <t>Demonstrate how REIs indicated on the product label are established and implemented on the farm.                                                                      Warning signs or other measures to prevent entry of workers, visitors or community members should be evident.</t>
  </si>
  <si>
    <t xml:space="preserve">REI is the minimum time between a PPP application and earliest permissible re-entry into the respected area. REIs are established to limit the exposure of farm workers and any visitors to chemical residues. The REI information is listed on the PPP label; however, there may be certain exemptions imposed by local government.                                                                                         Farm management has to demonstrate how REIs are enforced, i.e. signposting, communication to workers and, where applicable, community.                 </t>
  </si>
  <si>
    <t xml:space="preserve">Show records and be able to explain how PHIs indicated on the product label are respected.
</t>
  </si>
  <si>
    <t xml:space="preserve">PHI is the minimum duration between a PPP application and the earliest permissible harvest date in order to respect MRLs.                                                                                           
PHIs need to be extended from the PPP label recommendations where MRL of destination market or client is lower.                                                                                              
The earliest permissible harvest date is the latest date once all spray applications and their PHIs have been taken into consideration.                                                                             
Care needs to be taken when PPP approval has been granted by extrapolation as PHIs are not always revised accordingly by the authorisation body.                                                                                   
Farm management has to demonstrate how PHIs are enforced, i.e. spray records.                                   </t>
  </si>
  <si>
    <t>Show all PPPs are stored in the original labelled containers and that a purchase and stock inventory is maintained.</t>
  </si>
  <si>
    <t>See FSA45.</t>
  </si>
  <si>
    <t>Show PPPs are always stored in a secure, labelled, separate, well-ventilated box, cupboard, room or building, used only for PPPs.</t>
  </si>
  <si>
    <t>https://assets.publishing.service.gov.uk/government/uploads/system/uploads/attachment_data/file/268691/pb13558-cogap-131223.pdf</t>
  </si>
  <si>
    <t>Be able to demonstrate how human exposure is minimised whilst decanting, mixing and applying PPP by ensuring the correct PPE is available and adequate training has been provided.</t>
  </si>
  <si>
    <t xml:space="preserve">Avoid PPP mixing near drains, slopes, proximity to watercourses, high-traffic and protected high-traffic areas.                                                                       
Use portable drip trays. </t>
  </si>
  <si>
    <t>The responsible person can be either the farmer him/herself or the designated farm manager. 
Training is considered to be one of the following possibilities:
- College level courses
- Training provided by independent accredited organisations
- Crop advisor trainings related to IPM
- Manuals or information from reputable sources
Qualified advice can be based on knowledge of:
- Visual inspections, taking into account economic thresholds of pest/disease/weed occurrence
- Weather forecasts
- Electronic systems
- Local knowledge
If available and relevant, it is recommended that you subscribe to a national IPM program with certification.
(Also see guidance notes for FSA48.)</t>
  </si>
  <si>
    <t>Demonstrate how the farm implements the three basic pillars of IPM, the prevention, monitoring and control of diseases, weeds and pests by combining cultural, biological, mechanical, physical and other strategies and practices to grow healthy crops and minimise the use of PPPs.</t>
  </si>
  <si>
    <t>The use of biological, physical and other non-chemical methods in the prevention, monitoring and control of diseases, weeds and pests must be preferred to chemical methods if they provide satisfactory control. Practices include:
-	 Crop rotation 
-	 Cultivation techniques
-	 Use of resistant/tolerant cultivars and standard/certified seed/planting material
-	 Use of balanced nutrient application, liming and irrigation/drainage practices
-	 Hygiene measures (e.g. cleaning of machinery, tools and equipment)
-	 Protection and enhancement of important beneficial organisms
-	 Monitoring of harmful organisms 
Application of PPPs must be:
-	 Based on monitoring data
-	 As targeted as possible to minimise the risk of developing resistance in a population of harmful organisms and to  maintain the effectiveness of the PPPs</t>
  </si>
  <si>
    <t>Demonstrate how resistance is minimised on the farm through crop rotation, alternating and limited use of PPPs.</t>
  </si>
  <si>
    <t>Focus on select and targeted applications rather than broad and blanket applications. Also, use other measures which prevent unnecessary exposure, i.e. additional risk-assessed restrictions on use beyond label recommendations, to further protect people and the environment.</t>
  </si>
  <si>
    <t>Be able to justify that the amount of irrigation water recommended for use has been optimised for crop requirements.</t>
  </si>
  <si>
    <t>Theoretical crop water needs can be used to determine crop selection and irrigation system design. Local meteorological data versus theoretical data can be used to determine daily, peak and total irrigation needs. More sophisticated tools, like soil tensiometers, can be adopted to improve accuracy of irrigation scheduling on a daily basis.</t>
  </si>
  <si>
    <t>The irrigation management plan should show that your farm's extraction and distribution patterns do not compromise the drinking water and sanitary needs of local communities, remove water from natural ecosystems that require it for healthy functioning or impact crop production because salinity problems are exacerbated by shallow water tables.</t>
  </si>
  <si>
    <t xml:space="preserve">Availability:                                                                                       
Crop selection should be a function of water availability and ensuring that peak crop water demands can be met by the current irrigation system and without exceeding total and peak legal limits, where applicable.                                                                                  
Water salinity:                                                                                   
Consider impact of electroconductivity (salinity) on crop selection, irrigation design and additional water requirements to leach salts out of the root zone, especially if this cannot be addressed through seasonal rains alone.  </t>
  </si>
  <si>
    <t>Be able to demonstrate that the irrigation method used on the farm is the most suitable for the crop and for climatic and economic conditions and takes into consideration water stress.                               
Be able to show that the irrigation system is maintained to ensure efficient water use.</t>
  </si>
  <si>
    <t xml:space="preserve">Irrigation systems should be routinely serviced and inspected to ensure that there is no excess loss of pressure caused by leaks or blockages. This extends to land management practices where flood or other forms of surface irrigation are adopted. System design and selection should reflect the crop needs and water availability.    </t>
  </si>
  <si>
    <t>Maintain records to demonstrate how the farm has used irrigation water efficiently to maximise the benefits of the water being applied.</t>
  </si>
  <si>
    <t xml:space="preserve">Design:                                                                                       
Irrigation design should take into consideration high risk crops, i.e. applying water directly or indirectly to the crop. Direct application for high risk crops also has an impact on frequency of water testing.                                                                                                
Duration:                                                                                          
The duration of irrigation, which will be a function of irrigation design, should minimise or prevent leaching of water outside of the crop root zone, unless doing so for leaching purposes (salinity control). Consider shorter, more frequent irrigation scheduling, especially for free-draining, light (sandy) soils.                                                                               
Frequency:                                                                                          
The frequency needs to work from a management perspective, but should not be so infrequent as to cause water stress in the crop. Factors such as irrigation discharge capacity, crop selection, application rates, climate and soil characteristics will influence the maximum time between irrigation applications.                           </t>
  </si>
  <si>
    <t>The farm manages and creates habitats as part of a BAP by planting and managing a mixed population of native herbaceous, bush and tree species to create habitats of high biodiversity value.</t>
  </si>
  <si>
    <t xml:space="preserve">Planting and managing native species and creating habitats provide services such as water table management, flood control, nesting and foraging sites for insectivorous birds or plants used by species that predate on pests.
</t>
  </si>
  <si>
    <t>The farm manages any areas where beneficial species of flora and fauna can be found to promote their existence.</t>
  </si>
  <si>
    <t>Scope includes biological soil health. Examples include:                                                                                       
- Revised spray programme to reduce toxicity                                                                                           
- Greening measures, i.e. meadows, wildflowers</t>
  </si>
  <si>
    <t>The farm carries out assessments and records the presence of rare or endangered species and habitats on the farm and within the local area. Records are also kept of any known wildlife corridors within the landscape.</t>
  </si>
  <si>
    <t>Liaise with the local environment office for a list of rare, threatened and endangered species in the catchment area if an assessment has not been done on your land.</t>
  </si>
  <si>
    <t xml:space="preserve">A clear, up-to-date energy management plan is in place including an assessment of basic energy requirements and how much energy/fuel is used, where, and for what activities. 
</t>
  </si>
  <si>
    <t>This can be done on a landscape level.
This can be explained verbally.</t>
  </si>
  <si>
    <t>Knowing the farm's basic energy requirements, either directly (including for domestic purposes) or indirectly (such as through contracting agricultural services), is necessary in developing a plan to reduce energy consumption and improve energy efficiency. 
To create an Energy Management Plan, the farm needs to assess:
- the main uses of energy  
- the energy sources 
- an estimation of the energy used 
- the consequences of their use in terms of air pollution and GHG emissions.</t>
  </si>
  <si>
    <t xml:space="preserve">Demonstrate how the farm is reducing energy consumption and improving energy efficiency. 
</t>
  </si>
  <si>
    <t xml:space="preserve">In optimising energy use efficiency, you should consider: 
-	 any on-farm energy conservation practices 
-	 the upgrading and replacement of energy inefficient machinery
-	 how the farm ensures appropriate machinery and equipment is used to complete tasks on the farm
Examples include:                                                                                 
- Regular service of vehicles                                                                                                                    
- Equipment calibration                                                                                  
- Appropriate tractor is used for the job
- Minimise field tracking 
- Low CO₂ emissions on replaced farm vehicles                                                                                    
- Low specific fuel consumption
- Keep revolutions as low as possible
- Select correct tyre pressure
- Plan work to minimise journeys
- Conservation tillage                                                                            
- LED lighting                                                                                   
- Energy efficient stoves                                                                                        
- Gravitational-fed irrigation systems                                                                            </t>
  </si>
  <si>
    <t>DD 01</t>
  </si>
  <si>
    <t>DD 03</t>
  </si>
  <si>
    <t>DD 04</t>
  </si>
  <si>
    <t>DD 05</t>
  </si>
  <si>
    <t>DD 06</t>
  </si>
  <si>
    <t>DD 09</t>
  </si>
  <si>
    <t>DD 10</t>
  </si>
  <si>
    <t>DD 11</t>
  </si>
  <si>
    <t>DD 12</t>
  </si>
  <si>
    <t>DD 13</t>
  </si>
  <si>
    <t>DD 14</t>
  </si>
  <si>
    <t>DD 15</t>
  </si>
  <si>
    <t>DD 16</t>
  </si>
  <si>
    <t>DD 17</t>
  </si>
  <si>
    <t>DD 02</t>
  </si>
  <si>
    <t>DD 07</t>
  </si>
  <si>
    <t>DD 08</t>
  </si>
  <si>
    <t xml:space="preserve">Do you use manure application technology and integrated management approaches to reduce greenhouse gas emissions and possible pollution risks? </t>
  </si>
  <si>
    <t xml:space="preserve">Is any of your annual cropped land area farmed for temporary livestock forage and/or direct livestock integration? </t>
  </si>
  <si>
    <t xml:space="preserve"> No.</t>
  </si>
  <si>
    <t>Outcome and Indicator selection to be completed by FMG Manager</t>
  </si>
  <si>
    <t>The Integrated SAQ requires macros to function properly. If macros are blocked upon opening the file, please follow the instructions provided in the following link to enable them: https://support.microsoft.com/en-gb/topic/a-potentially-dangerous-macro-has-been-blocked-0952faa0-37e7-4316-b61d-5b5ed6024216</t>
  </si>
  <si>
    <t>ESCOPO</t>
  </si>
  <si>
    <t xml:space="preserve">Fazenda: </t>
  </si>
  <si>
    <t xml:space="preserve">Produtor: </t>
  </si>
  <si>
    <r>
      <rPr>
        <b/>
        <sz val="14"/>
        <color theme="1"/>
        <rFont val="Calibri"/>
        <family val="2"/>
        <scheme val="minor"/>
      </rPr>
      <t>Data:</t>
    </r>
    <r>
      <rPr>
        <sz val="14"/>
        <color theme="1"/>
        <rFont val="Calibri"/>
        <family val="2"/>
        <scheme val="minor"/>
      </rPr>
      <t xml:space="preserve"> </t>
    </r>
  </si>
  <si>
    <t xml:space="preserve">Auditor: </t>
  </si>
  <si>
    <t>Nº de colaboradores?</t>
  </si>
  <si>
    <t>Utiliza irrigação?</t>
  </si>
  <si>
    <t>Não</t>
  </si>
  <si>
    <t>Nº</t>
  </si>
  <si>
    <t>ITENS</t>
  </si>
  <si>
    <t>AVALIAÇÃO</t>
  </si>
  <si>
    <t>DESCRIÇÃO DA NÃO CONFORMIDADE</t>
  </si>
  <si>
    <t>Sim</t>
  </si>
  <si>
    <t>Os colaboradores conhecem e cumprem o que está descrito no código de conduta?</t>
  </si>
  <si>
    <t>O(s) colaborador(es) recebem EPI de acordo com as suas atividades? Há o registro de entrega?</t>
  </si>
  <si>
    <t>É realizado o registro de lavagem de EPI de aplicação?</t>
  </si>
  <si>
    <t>A produção e o manuseio de transgênicos são realizados de acordo com a legislação e orientação técnica?</t>
  </si>
  <si>
    <t>Há procedimento do que fazer em caso de emergência ou acidente?</t>
  </si>
  <si>
    <t>Há placa de telefones úteis disponível na fazenda?</t>
  </si>
  <si>
    <t>Os defensivos utilizados na cultura estão de acordo com as legislações pertinentes, são adquiridos de fornecedores licenciados, e sua aplicação segue as recomendações agronômicas?</t>
  </si>
  <si>
    <t>Há dispositivo lava-olhos ou ducha-oftálmica disponível na propriedade?</t>
  </si>
  <si>
    <t>Há placa de reentrada nos talhões?</t>
  </si>
  <si>
    <t>O ferro velho está adequado? (Local coberto e materiais sobre pallets ou prateleiras)</t>
  </si>
  <si>
    <t>Não foram realizadas queimadas intencionais em qualquer parte da propriedade, seja de resíduos vegetais, dejetos ou para a limpeza da vegetação?</t>
  </si>
  <si>
    <t>Você tem contratos em vigor para a comercialização de seus produtos?</t>
  </si>
  <si>
    <t>Você mede e monitora todas as suas fontes de emissão de gases de efeito estufa (GEE)?</t>
  </si>
  <si>
    <t>Você elaborou um documento mapeando todos os riscos e oportunidades do negócio?</t>
  </si>
  <si>
    <t>Existe um plano de ação para a melhoria contínua?</t>
  </si>
  <si>
    <t>AUDITORIA INTERNA - PROGRAMA AGRÁRIA DE GESTÃO RURAL</t>
  </si>
  <si>
    <t>Responder</t>
  </si>
  <si>
    <t>N/A</t>
  </si>
  <si>
    <t>Qual a porcentagem da sua área destinada a reservas nativas e áreas de preservação permanente?</t>
  </si>
  <si>
    <t>Arable Crops</t>
  </si>
  <si>
    <t>Barley</t>
  </si>
  <si>
    <t>Wheat</t>
  </si>
  <si>
    <t>Soy</t>
  </si>
  <si>
    <t>Corn</t>
  </si>
  <si>
    <r>
      <rPr>
        <b/>
        <sz val="14"/>
        <color theme="1"/>
        <rFont val="Calibri"/>
        <family val="2"/>
        <scheme val="minor"/>
      </rPr>
      <t>Área Total (ha):</t>
    </r>
    <r>
      <rPr>
        <sz val="14"/>
        <color theme="1"/>
        <rFont val="Calibri"/>
        <family val="2"/>
        <scheme val="minor"/>
      </rPr>
      <t xml:space="preserve"> </t>
    </r>
  </si>
  <si>
    <t>Área de Soja (ha)</t>
  </si>
  <si>
    <t>Área de Milho (ha)</t>
  </si>
  <si>
    <t>Área de Trigo (ha)</t>
  </si>
  <si>
    <t>Area de Cevada(ha)</t>
  </si>
  <si>
    <t>Área de HF ou arrendada para HF (ha)</t>
  </si>
  <si>
    <t>Cobertura(ha)</t>
  </si>
  <si>
    <t>Quantos moram na fazenda?</t>
  </si>
  <si>
    <t>Você tem conhecimento e participa dos eventos técnicos e aperfeiçoamentos realizados pela Cooperativa? Você participa de eventos que tratam de sustentabilidade e discussões de caráter ambiental?</t>
  </si>
  <si>
    <t>Nível II - REGISTROS</t>
  </si>
  <si>
    <t>Possui os direitos de uso da terra? (Escritura, matrícula e/ou contrato de arrendamento)</t>
  </si>
  <si>
    <t>Existe contrato de trabalho com os funcionários, os pagamentos dos salários, horas extras, beneficios e os descontos realizados estão de acordo com a legislação vigente/acordos coletivos?</t>
  </si>
  <si>
    <t>Possui código de conduta na propriedade?</t>
  </si>
  <si>
    <t>Possui PGRTR (Programa de Gerenciamento de Riscos no Meio Rural) e PCMSO (Programa de Controle Médico de Saúde Ocupacional) atualizados?</t>
  </si>
  <si>
    <t>Possui o registro da destinação de resíduos recicláveis e não recicláveis?</t>
  </si>
  <si>
    <t xml:space="preserve">Possui o registro da destinação de resíduos contaminados? </t>
  </si>
  <si>
    <t>Possui o comprovante da devolução de embalagens vazias de defensivos?</t>
  </si>
  <si>
    <t>Possui o registros de limpeza da caixa d'água semestral?</t>
  </si>
  <si>
    <t xml:space="preserve">Possui a análise de potabilidade da água anual? </t>
  </si>
  <si>
    <t>Possui registros de plantio, a aplicação de defensivos e fertilizantes utilizados na cultura? (sigma/caderno de campo)</t>
  </si>
  <si>
    <t>Possui o registro das condições metereológicas antes da aplicação dos defensivos agrícolas?</t>
  </si>
  <si>
    <t>Possui colaborador treinado em Primeiros Socorros?</t>
  </si>
  <si>
    <t xml:space="preserve">Possui extintores na sua propriedade? Os extintores são recarregados anualmente? </t>
  </si>
  <si>
    <t>Há caixa de primeiros socorros disponível na propriedade?</t>
  </si>
  <si>
    <t>Possui local adequado para a guarda de EPI's dos colaboradores?</t>
  </si>
  <si>
    <t>Você armazena os fertilizantes de maneira segura? (Sobre pallets e respeitando o empilhamento máximo de acordo com orientações do fabricante)</t>
  </si>
  <si>
    <t>A propriedade possui fossa séptica ou outra forma de destinação de esgoto?</t>
  </si>
  <si>
    <t>Possui o controle de estoque de defensivos?</t>
  </si>
  <si>
    <t>Possui o registro de manutenção preventiva e corretiva do seu maquinário?</t>
  </si>
  <si>
    <t>Possui o registro de calibração e/ou inspeção dos equipamentos de pulverização?</t>
  </si>
  <si>
    <t xml:space="preserve">Possui os ASOs (Atestado de Saúde Ocupacional) dos colaboradores vigentes? Seguem o que está descrito no PCMSO? </t>
  </si>
  <si>
    <t>Possui colaboradores treinados em uso de extintores?</t>
  </si>
  <si>
    <t>Possui o CAR (Cadastro Ambiental Rural) de todas as áreas?</t>
  </si>
  <si>
    <t>Possui o registro de MIP (Manejo Integrado de Pragas)?</t>
  </si>
  <si>
    <t xml:space="preserve">Possui registro do uso de agentes biológicos no manejo da propriedade? </t>
  </si>
  <si>
    <t xml:space="preserve">Há local adequado para armazenamento de produtos defensivos agrícolas? </t>
  </si>
  <si>
    <t>As FDS's (Fichas de Dados de Segurança) dos produtos químicos estão disponíveis no local?</t>
  </si>
  <si>
    <t xml:space="preserve">Há local adequado para armazenamento de embalagens vazias de defensivos de maneira segura? </t>
  </si>
  <si>
    <t>Limpa corretamente as embalagens vazias de defensivos? (Tríplice lavagem, furo na embalagem)</t>
  </si>
  <si>
    <t>Há local adequado para armazenamento de óleos e lubrificantes?</t>
  </si>
  <si>
    <t>Possui medidas para prevenir caça, pesca ou extração da flora e fauna ilegais nas suas terras? (Placas, manual de integração...)</t>
  </si>
  <si>
    <t>Nível IV - REGISTRO</t>
  </si>
  <si>
    <t>Possui controle de abastecimento de combustível?</t>
  </si>
  <si>
    <t xml:space="preserve">Possui colaboradores treinados em NR 20 (saúde e segurança no trabalho com inflamáveis e combustíveis)? </t>
  </si>
  <si>
    <t>Os funcionários registram o cartão ponto? O descanso semanal e de intrajornada é respeitado?</t>
  </si>
  <si>
    <t>Acessa regularmente as informações disponíveis no portal do cooperado? (aplicativos, portal de rentabilidade, SIGMA)</t>
  </si>
  <si>
    <t>Realiza a programação das culturas de acordo com as orientações da Cooperativa e de seu agrônomo?</t>
  </si>
  <si>
    <t>Existem práticas para eliminar/minimizar os efeitos da erosão na propriedade? (bacias de contenção, plantio em nível, cobertura ou outras práticas conservacionistas)</t>
  </si>
  <si>
    <t xml:space="preserve">Possui local adequado para armazenamento de combustível de maneira segura para seres humanos e para o meio ambiente? </t>
  </si>
  <si>
    <t xml:space="preserve">Possui local adequado para lavagem de EPI's? </t>
  </si>
  <si>
    <t xml:space="preserve">Possui local adequado para lavagem de maquinários? </t>
  </si>
  <si>
    <t>Nível V - REGISTROS</t>
  </si>
  <si>
    <t>Possui um plano de biodiversidade para a propriedade?</t>
  </si>
  <si>
    <t>Possui o controle de avistamento atualizado para avaliar a biodiversidade da fazenda?</t>
  </si>
  <si>
    <t>Possui as ordens de serviço por colaborador, conforme o PGRTR?</t>
  </si>
  <si>
    <t>Utiliza dejetos ou adubo orgânico para adubação? Faz a análise do dejeto e registro de aplicação?</t>
  </si>
  <si>
    <t>Possui a outorga de água válida?</t>
  </si>
  <si>
    <t xml:space="preserve">Implementou o 5S na propriedade? </t>
  </si>
  <si>
    <t>Possui alguma medida para armazenar água da chuva excedente? Como coleta da água da chuva em cisternas?</t>
  </si>
  <si>
    <t>Possui alguma fonte limpa e sustentável de energia renovável para suas operações agrícolas?</t>
  </si>
  <si>
    <t>Possui a rastreabilidade e segurança alimentar dos seus produtos?</t>
  </si>
  <si>
    <t>Realiza a rotação de culturas com milho em no mínimo 1/4 da área?</t>
  </si>
  <si>
    <t>As semeadoras da propriedade possuem inspeção e devida certificação atualizada? (bianual)</t>
  </si>
  <si>
    <t>As fontes de água da fazenda estão protegidas?</t>
  </si>
  <si>
    <t>INDICADORES DE AGRICULTURA REGENERATIVA</t>
  </si>
  <si>
    <t>Solo</t>
  </si>
  <si>
    <t xml:space="preserve">Porcentagem de área com plantio direto dentro do ano-calendário vigente. </t>
  </si>
  <si>
    <t>Ideal, 80%. Apenas HF dentro da fazenda não terá plantio direto. Desconsiderar áreas próprias arrendadas para terceiros.</t>
  </si>
  <si>
    <t>Água</t>
  </si>
  <si>
    <t>Relação entre volume de nitrogênio aplicado e produtividade da cultura CEVADA</t>
  </si>
  <si>
    <t>Relação entre volume de nitrogênio aplicado e produtividade da cultura TRIGO</t>
  </si>
  <si>
    <t>Relação entre volume de nitrogênio aplicado e produtividade da cultura MILHO</t>
  </si>
  <si>
    <t>Biod.</t>
  </si>
  <si>
    <t>Número de espécies cultivadas dentro do ano-calendário</t>
  </si>
  <si>
    <t>Ideal por talhão, porém a certificação é por fazenda. Incluir culturas de cobertura e listar espécies em caso de mix (se possível). 70% de área com outonais.</t>
  </si>
  <si>
    <t>Porcentagem de área com cultivo outonal. (Obs: Considerar outonal plantio pré-inverno)</t>
  </si>
  <si>
    <t>Versão: 25/09/2025</t>
  </si>
  <si>
    <t>Observações:</t>
  </si>
  <si>
    <t>Possui um planejamento de treinamentos para os colaboradores?</t>
  </si>
  <si>
    <t>O(s) colaborador(es) envolvidos no preparo da calda e aplicação de defensivos possuem treinamento em NR 31.7, com carga horária mínima de 20 horas?</t>
  </si>
  <si>
    <t>Possui local com vestiário ou banheiro e chuveiro próximo a sala de defensivos?</t>
  </si>
  <si>
    <t>DD</t>
  </si>
  <si>
    <t>Possui CADPRO atualizado?</t>
  </si>
  <si>
    <t>O processo de aquisição das suas terras passou por disputas legais ou consuetudinárias? As pessoas afetadas nesse processo foram compensadas e os conflitos de uso foram resolvidos?</t>
  </si>
  <si>
    <t>Porcentagem de área com cultivo de cobertura. (Obs: Considerar plantio pré-verão, sem inverno) - RTF 01</t>
  </si>
  <si>
    <t>RTF</t>
  </si>
  <si>
    <t>Existem funcionários morando na fazenda? As instalações (casas e alojamentos) são adequadas?</t>
  </si>
  <si>
    <t>Área para Silagem(ha)</t>
  </si>
  <si>
    <t>FSA 45</t>
  </si>
  <si>
    <t>FSA 50</t>
  </si>
  <si>
    <t>FSA 46</t>
  </si>
  <si>
    <t>FSA 107</t>
  </si>
  <si>
    <t>demanda RTRS</t>
  </si>
  <si>
    <t>FSA 42</t>
  </si>
  <si>
    <t>FSA 51</t>
  </si>
  <si>
    <t>É realizada a coleta seletiva e há local para armazenamento e segregação de resíduos? Há recipiente exclusivo para lixo contaminado?</t>
  </si>
  <si>
    <t>FSA 100</t>
  </si>
  <si>
    <t>FSA 94 e FSA100</t>
  </si>
  <si>
    <t>FSA 17</t>
  </si>
  <si>
    <t>FSA 47</t>
  </si>
  <si>
    <t>FSA 16</t>
  </si>
  <si>
    <t xml:space="preserve">Você possui materiais para contenção de vazamentos e procedimento no caso de vazamentos expostos na sala de defensivos e área de óleos/lubrificantes? </t>
  </si>
  <si>
    <t>FSA 15</t>
  </si>
  <si>
    <t>FSA 8</t>
  </si>
  <si>
    <t xml:space="preserve">É realizada análise de solo no mínimo a cada 4 anos no mesmo talhão? </t>
  </si>
  <si>
    <t>A correção do solo é realizada de acordo com a recomendação do técnico responsável? (Plano de gestão de nutrientes do agrônomo)</t>
  </si>
  <si>
    <t>FSA 35</t>
  </si>
  <si>
    <t>FSA 34</t>
  </si>
  <si>
    <t>Nível da auditoria</t>
  </si>
  <si>
    <t>Houve intervenção em áreas de preservação permanente sem autorização do órgão responsável?</t>
  </si>
  <si>
    <t>A reserva legal e as áreas de preservação permanente estão de acordo com a legislação?</t>
  </si>
  <si>
    <t>NÍVEL PAGR</t>
  </si>
  <si>
    <t>I</t>
  </si>
  <si>
    <t>Coluna2</t>
  </si>
  <si>
    <t>Clas.</t>
  </si>
  <si>
    <t>E</t>
  </si>
  <si>
    <t>A</t>
  </si>
  <si>
    <t>N/A?</t>
  </si>
  <si>
    <t>Nível III - REGISTRO</t>
  </si>
  <si>
    <t>CRITICO</t>
  </si>
  <si>
    <t>Coluna22</t>
  </si>
  <si>
    <t>Coluna3</t>
  </si>
  <si>
    <t>Respons.</t>
  </si>
  <si>
    <t>Tem prestação de serviço?</t>
  </si>
  <si>
    <t>Proprietário</t>
  </si>
  <si>
    <t>Prestador</t>
  </si>
  <si>
    <r>
      <t xml:space="preserve">Nível II - </t>
    </r>
    <r>
      <rPr>
        <b/>
        <i/>
        <sz val="14"/>
        <rFont val="Calibri"/>
        <family val="2"/>
        <scheme val="minor"/>
      </rPr>
      <t>IN LOCO</t>
    </r>
  </si>
  <si>
    <r>
      <t xml:space="preserve">Nível III - </t>
    </r>
    <r>
      <rPr>
        <b/>
        <i/>
        <sz val="14"/>
        <rFont val="Calibri"/>
        <family val="2"/>
        <scheme val="minor"/>
      </rPr>
      <t>IN LOCO</t>
    </r>
  </si>
  <si>
    <r>
      <t xml:space="preserve">Nível IV - </t>
    </r>
    <r>
      <rPr>
        <b/>
        <i/>
        <sz val="14"/>
        <rFont val="Calibri"/>
        <family val="2"/>
        <scheme val="minor"/>
      </rPr>
      <t>IN LOCO</t>
    </r>
  </si>
  <si>
    <r>
      <t xml:space="preserve">Possui um canal de comunicação com a comunidade? </t>
    </r>
    <r>
      <rPr>
        <b/>
        <sz val="14"/>
        <rFont val="Calibri"/>
        <family val="2"/>
        <scheme val="minor"/>
      </rPr>
      <t>AVALIAR COM RAFAEL</t>
    </r>
  </si>
  <si>
    <r>
      <t xml:space="preserve">Você garante que impactos negativos (ambientais, sociais e de direitos humanos) no uso das suas terras foram mitigados, antes ou após o inícios das suas atividades? </t>
    </r>
    <r>
      <rPr>
        <b/>
        <sz val="14"/>
        <rFont val="Calibri"/>
        <family val="2"/>
        <scheme val="minor"/>
      </rPr>
      <t>OU</t>
    </r>
    <r>
      <rPr>
        <sz val="14"/>
        <rFont val="Calibri"/>
        <family val="2"/>
        <scheme val="minor"/>
      </rPr>
      <t xml:space="preserve"> Foi realizada uma avaliação de riscos para novas atividades na fazenda, para mitigação de novas atividades ou aquisições de novas terras?</t>
    </r>
  </si>
  <si>
    <r>
      <t xml:space="preserve">Nível V - </t>
    </r>
    <r>
      <rPr>
        <b/>
        <i/>
        <sz val="14"/>
        <rFont val="Calibri"/>
        <family val="2"/>
        <scheme val="minor"/>
      </rPr>
      <t>IN LOCO</t>
    </r>
  </si>
  <si>
    <r>
      <t xml:space="preserve">Possui caixa de sugestões na propriedade? </t>
    </r>
    <r>
      <rPr>
        <b/>
        <sz val="14"/>
        <rFont val="Calibri"/>
        <family val="2"/>
        <scheme val="minor"/>
      </rPr>
      <t>TIRAR? Deixar o canal da agrária para queixas (código de conduta). Se sim, tirar o FSA 13 da linha 94 (canal de comunicação)</t>
    </r>
  </si>
  <si>
    <t>REQUERIMENTO</t>
  </si>
  <si>
    <t>N°</t>
  </si>
  <si>
    <t>Neste requisito considera-se que a cooperativa deve possuir todos os documentos que valida os direitos de uso da terra de cada cooperado. Será avaliado o documento do talhão com a cultura auditada. Em casos de prestação de serviços esse documento deve apresentado pelo proprietário das terras.</t>
  </si>
  <si>
    <t>Evidenciar o contrato de trabalho ou folha de pagamento do funcionário verificando as informações de horas extras, benefícios e descontos realizados.</t>
  </si>
  <si>
    <t>Evidenciar um registro que comprove o repasse do código de conduta aos colaboradores. Em casos de prestação de serviço, o mesmo deve apresentar o repasse do código para os seus funcionários.</t>
  </si>
  <si>
    <t>Evidenciar o código de conduta do Programa ou código próprio da fazenda. Deve ser evidenciado a disponibilização do mesmo para os funcionários, o qual pode ficar exposto no mural, compartilhado por meio de grupos de WhatsApp ou treinamentos. Quando ocorre a prestação de serviços o prestador deve apresentar o código de conduta.</t>
  </si>
  <si>
    <t>Evidenciar os documentos de segurança elaborados pelas clínicas. Legalmente o PGR-TR é válido por 3 anos e o PCMSO 1 ano, entretanto será considerada a validade emitida no documento pela clínica de Segurança. Evidenciar no documento os riscos levantados para as funções e respectivos EPIs. No PCMSO observar se é requerido o exame de colinesterase para os funcionários que realizam a aplicação de defensivos, este exame é obrigatório para quem realiza a manipulação e aplicação de agentes químicos , logo caso o documento não apresente os riscos químicos o mesmo deve ser atualizado para ser considerado na auditoria. Para cooperados que fazem a contratação de prestação de serviços o prestador deve evidenciar essa documentação.</t>
  </si>
  <si>
    <t>Evidenciar registro de lavagem dos EPIs de aplicação. Quando observado que o colaborador utiliza mais de um EPI ao mesmo tempo deve ser demonstrado como o controle de lavagem é realizado, sendo possível evidenciar o número de lavagens de cada um individualmente. Toda pessoa que faz a lavagem de EPI deve estar treinada na NR 31.7 com carga horária mínima de 20 horas. Para cooperados que fazem a contratação de prestação de serviços o prestador deve evidenciar esse registro.</t>
  </si>
  <si>
    <t>Evidenciar registro de entrega dos EPIs requeridos no PGR-TR. Deve ser realizada a entrega do EPI de aplicação ao menos duas vezes por ano para colaboradores que estão diretamente associados a atividade, conforme descrição do PGR-TR. Para colaboradores envolvidos de forma esporádica a frequência pode ser maior. Para cooperados que fazem a contratação de prestação de serviços o prestador deve evidenciar esse registro.</t>
  </si>
  <si>
    <t>Evidenciar certificado de formação no treinamento com carga horária mínima de 20 horas emitido pelo SENAR ou empresa externa com emissão de ART. De acordo com a NR 31.7 o treinamento pode ser presencial ou semi presencial, entretanto todo treinamento deve ter a prática de forma presencial. A reciclagem do treinamento é exigida a cada 3 anos. O cronograma de treinamento elaborado pela fazenda não será aceito para fins de validação da não conformidade, deve ser evidenciada a inscrição do colaborador no treinamento para a validação. Para cooperados que fazem a contratação de prestação de serviços o prestador deve evidenciar o certificado de treinamento de seus funcionários.</t>
  </si>
  <si>
    <t>Evidenciar registro de entrega dos resíduos recicláveis e contaminados. Serão considerados para a auditoria recibos de coleta, declaração da prefeitura, rota de coleta da prefeitura e formulário de registro da destinação. Nos casos de cooperados que estão no programa mas não possuem sede esse registro é avaliado com o prestador de serviços. Em caso contrário com o cooperado.</t>
  </si>
  <si>
    <t>Evidenciar o registro de destinação de contaminados (declaração ou recibo). Observar a destinação de ferro velho, óleo queimado e resíduos gerais de manutenção. Para cooperados que fazem a contratação de prestação de serviços o prestador deve evidenciar os registros de destinação. Para cooperados que contratam a prestação de serviços mas possuem algum maquinário na fazenda, ambos devem apresentar os comprovantes de destinação.</t>
  </si>
  <si>
    <t xml:space="preserve">Evidenciar o comprovante de destinaçção de embalagens vazias. Para casos que ocorre a contratação </t>
  </si>
  <si>
    <t>Prestador ou proprietário</t>
  </si>
  <si>
    <t>Cooperativa</t>
  </si>
  <si>
    <t>Nível V - IN LOCO</t>
  </si>
  <si>
    <t>Nível III - IN LOCO</t>
  </si>
  <si>
    <t>Nível II - IN LOCO</t>
  </si>
  <si>
    <t>Nível III - REGISTROS</t>
  </si>
  <si>
    <t>Nível IV - REGISTROS</t>
  </si>
  <si>
    <t>Nível IV - IN LOCO</t>
  </si>
  <si>
    <t xml:space="preserve">Possui caixa de sugestões na propriedade? </t>
  </si>
  <si>
    <t xml:space="preserve">Possui um canal de comunicação com a comunidade? </t>
  </si>
  <si>
    <t>FSA 45 (bloqueia para nv 3)</t>
  </si>
  <si>
    <t xml:space="preserve"> (bloqueia para nv 3)</t>
  </si>
  <si>
    <t>FSA 45  (bloqueia para nv 3)</t>
  </si>
  <si>
    <t xml:space="preserve"> (bloqueia para nv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</si>
</sst>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9">
    <font>
      <sz val="11"/>
      <color theme="1"/>
      <name val="Calibri"/>
      <family val="2"/>
      <scheme val="minor"/>
    </font>
    <font>
      <b/>
      <sz val="11"/>
      <color theme="1"/>
      <name val="Calibri"/>
      <family val="2"/>
      <scheme val="minor"/>
    </font>
    <font>
      <sz val="12"/>
      <color theme="1"/>
      <name val="Calibri Light"/>
      <family val="2"/>
      <scheme val="major"/>
    </font>
    <font>
      <b/>
      <sz val="14"/>
      <color theme="0"/>
      <name val="Calibri Light"/>
      <family val="2"/>
      <scheme val="major"/>
    </font>
    <font>
      <b/>
      <sz val="13"/>
      <color theme="1"/>
      <name val="Calibri"/>
      <family val="2"/>
      <scheme val="minor"/>
    </font>
    <font>
      <sz val="13"/>
      <color theme="1"/>
      <name val="Calibri"/>
      <family val="2"/>
      <scheme val="minor"/>
    </font>
    <font>
      <sz val="13"/>
      <name val="Calibri"/>
      <family val="2"/>
      <scheme val="minor"/>
    </font>
    <font>
      <b/>
      <sz val="14"/>
      <color theme="0"/>
      <name val="Calibri"/>
      <family val="2"/>
      <scheme val="minor"/>
    </font>
    <font>
      <i/>
      <sz val="13"/>
      <color theme="0" tint="-0.499984740745262"/>
      <name val="Calibri"/>
      <family val="2"/>
      <scheme val="minor"/>
    </font>
    <font>
      <u/>
      <sz val="12"/>
      <color theme="10"/>
      <name val="Calibri"/>
      <family val="2"/>
      <scheme val="minor"/>
    </font>
    <font>
      <sz val="11"/>
      <color theme="0"/>
      <name val="Calibri"/>
      <family val="2"/>
      <scheme val="minor"/>
    </font>
    <font>
      <b/>
      <sz val="12"/>
      <color theme="1"/>
      <name val="Calibri"/>
      <family val="2"/>
      <scheme val="minor"/>
    </font>
    <font>
      <i/>
      <sz val="11"/>
      <color theme="1"/>
      <name val="Calibri"/>
      <family val="2"/>
      <scheme val="minor"/>
    </font>
    <font>
      <b/>
      <sz val="13"/>
      <name val="Calibri"/>
      <family val="2"/>
      <scheme val="minor"/>
    </font>
    <font>
      <b/>
      <sz val="11"/>
      <color theme="0"/>
      <name val="Calibri"/>
      <family val="2"/>
      <scheme val="minor"/>
    </font>
    <font>
      <b/>
      <i/>
      <sz val="12"/>
      <name val="Open Sans Light"/>
      <family val="2"/>
    </font>
    <font>
      <b/>
      <sz val="12"/>
      <name val="Open Sans Light"/>
      <family val="2"/>
    </font>
    <font>
      <sz val="12"/>
      <name val="Open Sans Light"/>
      <family val="2"/>
    </font>
    <font>
      <sz val="14"/>
      <name val="Gotham Bold"/>
      <family val="3"/>
    </font>
    <font>
      <sz val="12"/>
      <name val="Gotham Bold"/>
      <family val="3"/>
    </font>
    <font>
      <sz val="8"/>
      <name val="Calibri"/>
      <family val="2"/>
      <scheme val="minor"/>
    </font>
    <font>
      <sz val="20"/>
      <color theme="0"/>
      <name val="Gotham Bold"/>
      <family val="3"/>
    </font>
    <font>
      <sz val="10"/>
      <color theme="0"/>
      <name val="Calibri Light"/>
      <family val="2"/>
      <scheme val="major"/>
    </font>
    <font>
      <sz val="11"/>
      <color theme="1"/>
      <name val="Calibri"/>
      <family val="2"/>
      <scheme val="minor"/>
    </font>
    <font>
      <b/>
      <sz val="20"/>
      <color theme="1"/>
      <name val="Calibri"/>
      <family val="2"/>
      <scheme val="minor"/>
    </font>
    <font>
      <b/>
      <sz val="16"/>
      <color theme="4"/>
      <name val="Calibri"/>
      <family val="2"/>
      <scheme val="minor"/>
    </font>
    <font>
      <b/>
      <sz val="18"/>
      <color theme="1"/>
      <name val="Calibri"/>
      <family val="2"/>
      <scheme val="minor"/>
    </font>
    <font>
      <b/>
      <sz val="14"/>
      <color theme="4"/>
      <name val="Calibri"/>
      <family val="2"/>
      <scheme val="minor"/>
    </font>
    <font>
      <b/>
      <sz val="11"/>
      <color theme="4"/>
      <name val="Calibri"/>
      <family val="2"/>
      <scheme val="minor"/>
    </font>
    <font>
      <b/>
      <sz val="10"/>
      <color theme="4"/>
      <name val="Calibri"/>
      <family val="2"/>
      <scheme val="minor"/>
    </font>
    <font>
      <sz val="11"/>
      <color theme="4"/>
      <name val="Calibri"/>
      <family val="2"/>
      <scheme val="minor"/>
    </font>
    <font>
      <sz val="11"/>
      <name val="Calibri"/>
      <family val="2"/>
      <scheme val="minor"/>
    </font>
    <font>
      <sz val="12"/>
      <color theme="4"/>
      <name val="Calibri Light"/>
      <family val="3"/>
      <scheme val="major"/>
    </font>
    <font>
      <sz val="12"/>
      <color theme="1"/>
      <name val="Calibri"/>
      <family val="2"/>
      <scheme val="minor"/>
    </font>
    <font>
      <sz val="12"/>
      <color theme="4"/>
      <name val="Calibri"/>
      <family val="2"/>
      <scheme val="minor"/>
    </font>
    <font>
      <b/>
      <sz val="12"/>
      <color theme="4"/>
      <name val="Calibri"/>
      <family val="2"/>
      <scheme val="minor"/>
    </font>
    <font>
      <b/>
      <sz val="12"/>
      <color theme="1"/>
      <name val="Verdana"/>
      <family val="2"/>
    </font>
    <font>
      <sz val="12"/>
      <name val="Calibri Light"/>
      <family val="3"/>
      <scheme val="major"/>
    </font>
    <font>
      <sz val="12"/>
      <color theme="1"/>
      <name val="Calibri Light"/>
      <family val="3"/>
      <scheme val="major"/>
    </font>
    <font>
      <sz val="12"/>
      <color theme="7"/>
      <name val="Calibri Light"/>
      <family val="3"/>
      <scheme val="major"/>
    </font>
    <font>
      <b/>
      <sz val="12"/>
      <color theme="4"/>
      <name val="Calibri Light"/>
      <family val="3"/>
      <scheme val="major"/>
    </font>
    <font>
      <b/>
      <sz val="12"/>
      <color theme="0"/>
      <name val="Open Sans Light"/>
      <family val="2"/>
    </font>
    <font>
      <sz val="12"/>
      <color rgb="FFC00000"/>
      <name val="Calibri Light"/>
      <family val="3"/>
      <scheme val="major"/>
    </font>
    <font>
      <sz val="18"/>
      <color rgb="FF2D953E"/>
      <name val="Calibri"/>
      <family val="2"/>
      <scheme val="minor"/>
    </font>
    <font>
      <b/>
      <sz val="18"/>
      <color theme="0"/>
      <name val="Calibri"/>
      <family val="2"/>
      <scheme val="minor"/>
    </font>
    <font>
      <i/>
      <sz val="10"/>
      <color theme="3"/>
      <name val="Calibri"/>
      <family val="2"/>
      <scheme val="minor"/>
    </font>
    <font>
      <b/>
      <sz val="12"/>
      <color theme="4"/>
      <name val="Calibri Light"/>
      <family val="2"/>
      <scheme val="major"/>
    </font>
    <font>
      <sz val="12"/>
      <color theme="1" tint="0.34998626667073579"/>
      <name val="Calibri"/>
      <family val="2"/>
      <scheme val="minor"/>
    </font>
    <font>
      <sz val="10"/>
      <color rgb="FF0C0D0E"/>
      <name val="Var(--ff-mono)"/>
    </font>
    <font>
      <sz val="10"/>
      <name val="Calibri Light"/>
      <family val="2"/>
      <scheme val="major"/>
    </font>
    <font>
      <b/>
      <sz val="10"/>
      <color theme="0"/>
      <name val="Calibri"/>
      <family val="2"/>
      <scheme val="minor"/>
    </font>
    <font>
      <sz val="10"/>
      <color theme="1"/>
      <name val="Calibri"/>
      <family val="2"/>
      <scheme val="minor"/>
    </font>
    <font>
      <b/>
      <sz val="10"/>
      <name val="Open Sans Light"/>
      <family val="2"/>
    </font>
    <font>
      <sz val="10"/>
      <name val="Open Sans Light"/>
      <family val="2"/>
    </font>
    <font>
      <sz val="13"/>
      <color theme="0" tint="-4.9989318521683403E-2"/>
      <name val="Calibri"/>
      <family val="2"/>
      <scheme val="minor"/>
    </font>
    <font>
      <sz val="12"/>
      <color rgb="FFFF0000"/>
      <name val="Calibri"/>
      <family val="2"/>
      <scheme val="minor"/>
    </font>
    <font>
      <sz val="12"/>
      <name val="Calibri"/>
      <family val="2"/>
      <scheme val="minor"/>
    </font>
    <font>
      <sz val="12"/>
      <color theme="7"/>
      <name val="Calibri"/>
      <family val="2"/>
      <scheme val="minor"/>
    </font>
    <font>
      <sz val="14"/>
      <color theme="0"/>
      <name val="Gotham Bold"/>
      <family val="3"/>
    </font>
    <font>
      <b/>
      <sz val="11"/>
      <name val="Calibri"/>
      <family val="2"/>
      <scheme val="minor"/>
    </font>
    <font>
      <b/>
      <sz val="9"/>
      <name val="Open Sans Light"/>
      <family val="2"/>
    </font>
    <font>
      <b/>
      <sz val="12"/>
      <name val="Calibri Light"/>
      <family val="2"/>
      <scheme val="major"/>
    </font>
    <font>
      <b/>
      <sz val="12"/>
      <color theme="0"/>
      <name val="Calibri Light"/>
      <family val="2"/>
      <scheme val="major"/>
    </font>
    <font>
      <b/>
      <sz val="9"/>
      <color theme="2"/>
      <name val="Open Sans Light"/>
      <family val="2"/>
    </font>
    <font>
      <sz val="10"/>
      <color theme="1"/>
      <name val="Open Sans Regular"/>
    </font>
    <font>
      <sz val="10"/>
      <name val="Open Sans Regular"/>
    </font>
    <font>
      <b/>
      <sz val="10"/>
      <color theme="1"/>
      <name val="Open Sans Regular"/>
    </font>
    <font>
      <sz val="14"/>
      <name val="Open Sans Regular"/>
    </font>
    <font>
      <b/>
      <sz val="12"/>
      <color rgb="FF2D953E"/>
      <name val="Open Sans Regular"/>
    </font>
    <font>
      <b/>
      <sz val="10"/>
      <color theme="0"/>
      <name val="Open Sans Regular"/>
    </font>
    <font>
      <sz val="10"/>
      <color rgb="FF002060"/>
      <name val="Open Sans Regular"/>
    </font>
    <font>
      <b/>
      <sz val="10"/>
      <name val="Open Sans Regular"/>
    </font>
    <font>
      <b/>
      <sz val="10"/>
      <color rgb="FF2D953E"/>
      <name val="Open Sans Regular"/>
    </font>
    <font>
      <b/>
      <sz val="11"/>
      <color theme="0"/>
      <name val="Open Sans Regular"/>
    </font>
    <font>
      <sz val="11"/>
      <color theme="1"/>
      <name val="Open Sans Regular"/>
    </font>
    <font>
      <b/>
      <sz val="10"/>
      <color rgb="FFC00000"/>
      <name val="Open Sans Regular"/>
    </font>
    <font>
      <b/>
      <sz val="10"/>
      <color theme="7"/>
      <name val="Open Sans Regular"/>
    </font>
    <font>
      <sz val="14"/>
      <color theme="1"/>
      <name val="Calibri"/>
      <family val="2"/>
      <scheme val="minor"/>
    </font>
    <font>
      <sz val="11"/>
      <color theme="0"/>
      <name val="Open Sans Regular"/>
    </font>
    <font>
      <b/>
      <sz val="14"/>
      <color theme="1"/>
      <name val="Calibri"/>
      <family val="2"/>
      <scheme val="minor"/>
    </font>
    <font>
      <sz val="14"/>
      <color rgb="FFFF0000"/>
      <name val="Calibri"/>
      <family val="2"/>
      <scheme val="minor"/>
    </font>
    <font>
      <sz val="10"/>
      <color rgb="FFFF0000"/>
      <name val="Open Sans Regular"/>
    </font>
    <font>
      <b/>
      <sz val="10"/>
      <color rgb="FFFF0000"/>
      <name val="Open Sans Regular"/>
    </font>
    <font>
      <sz val="14"/>
      <name val="Calibri"/>
      <family val="2"/>
      <scheme val="minor"/>
    </font>
    <font>
      <b/>
      <sz val="12"/>
      <name val="Calibri"/>
      <family val="2"/>
      <scheme val="minor"/>
    </font>
    <font>
      <sz val="14"/>
      <color theme="1"/>
      <name val="Calibri"/>
      <scheme val="minor"/>
    </font>
    <font>
      <b/>
      <sz val="16"/>
      <color theme="1"/>
      <name val="Calibri"/>
      <family val="2"/>
      <scheme val="minor"/>
    </font>
    <font>
      <b/>
      <sz val="14"/>
      <name val="Calibri"/>
      <family val="2"/>
      <scheme val="minor"/>
    </font>
    <font>
      <b/>
      <i/>
      <sz val="14"/>
      <name val="Calibri"/>
      <family val="2"/>
      <scheme val="minor"/>
    </font>
  </fonts>
  <fills count="26">
    <fill>
      <patternFill patternType="none"/>
    </fill>
    <fill>
      <patternFill patternType="gray125"/>
    </fill>
    <fill>
      <patternFill patternType="solid">
        <fgColor rgb="FF2D953E"/>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theme="3"/>
        <bgColor indexed="64"/>
      </patternFill>
    </fill>
    <fill>
      <patternFill patternType="solid">
        <fgColor theme="0" tint="-0.14999847407452621"/>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9" tint="0.59999389629810485"/>
        <bgColor indexed="64"/>
      </patternFill>
    </fill>
    <fill>
      <patternFill patternType="solid">
        <fgColor rgb="FFFFC000"/>
        <bgColor indexed="64"/>
      </patternFill>
    </fill>
    <fill>
      <patternFill patternType="solid">
        <fgColor rgb="FFFF9999"/>
        <bgColor indexed="64"/>
      </patternFill>
    </fill>
    <fill>
      <patternFill patternType="solid">
        <fgColor rgb="FFAAC56D"/>
        <bgColor indexed="64"/>
      </patternFill>
    </fill>
    <fill>
      <patternFill patternType="solid">
        <fgColor theme="0" tint="-0.249977111117893"/>
        <bgColor indexed="64"/>
      </patternFill>
    </fill>
    <fill>
      <patternFill patternType="solid">
        <fgColor rgb="FFBFBFBF"/>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theme="4" tint="0.59999389629810485"/>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top/>
      <bottom/>
      <diagonal/>
    </border>
    <border>
      <left/>
      <right style="thin">
        <color indexed="64"/>
      </right>
      <top/>
      <bottom/>
      <diagonal/>
    </border>
    <border>
      <left/>
      <right/>
      <top/>
      <bottom style="thin">
        <color indexed="64"/>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rgb="FF008000"/>
      </left>
      <right style="thin">
        <color theme="9" tint="-0.249977111117893"/>
      </right>
      <top style="medium">
        <color rgb="FF008000"/>
      </top>
      <bottom/>
      <diagonal/>
    </border>
    <border>
      <left style="thin">
        <color theme="4"/>
      </left>
      <right style="thin">
        <color theme="4"/>
      </right>
      <top style="thin">
        <color theme="4"/>
      </top>
      <bottom style="thin">
        <color theme="4"/>
      </bottom>
      <diagonal/>
    </border>
    <border>
      <left style="medium">
        <color rgb="FF008000"/>
      </left>
      <right style="thin">
        <color theme="9" tint="-0.249977111117893"/>
      </right>
      <top/>
      <bottom/>
      <diagonal/>
    </border>
    <border>
      <left style="medium">
        <color rgb="FF008000"/>
      </left>
      <right style="thin">
        <color theme="9" tint="-0.249977111117893"/>
      </right>
      <top/>
      <bottom style="medium">
        <color rgb="FF008000"/>
      </bottom>
      <diagonal/>
    </border>
    <border>
      <left style="thin">
        <color theme="9" tint="-0.249977111117893"/>
      </left>
      <right style="thin">
        <color theme="9" tint="-0.249977111117893"/>
      </right>
      <top/>
      <bottom style="thin">
        <color theme="9" tint="-0.249977111117893"/>
      </bottom>
      <diagonal/>
    </border>
    <border>
      <left style="thin">
        <color theme="9" tint="-0.249977111117893"/>
      </left>
      <right/>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9" tint="-0.249977111117893"/>
      </left>
      <right/>
      <top style="thin">
        <color theme="9" tint="-0.249977111117893"/>
      </top>
      <bottom style="thin">
        <color theme="9" tint="-0.249977111117893"/>
      </bottom>
      <diagonal/>
    </border>
    <border>
      <left/>
      <right style="thin">
        <color theme="9" tint="-0.249977111117893"/>
      </right>
      <top style="thin">
        <color theme="9" tint="-0.249977111117893"/>
      </top>
      <bottom style="thin">
        <color theme="9" tint="-0.249977111117893"/>
      </bottom>
      <diagonal/>
    </border>
    <border>
      <left style="thin">
        <color auto="1"/>
      </left>
      <right style="thin">
        <color auto="1"/>
      </right>
      <top/>
      <bottom/>
      <diagonal/>
    </border>
    <border>
      <left/>
      <right/>
      <top style="thin">
        <color indexed="64"/>
      </top>
      <bottom/>
      <diagonal/>
    </border>
    <border>
      <left/>
      <right/>
      <top style="thin">
        <color theme="0" tint="-0.24994659260841701"/>
      </top>
      <bottom style="thin">
        <color theme="0" tint="-0.24994659260841701"/>
      </bottom>
      <diagonal/>
    </border>
    <border>
      <left style="thick">
        <color theme="4" tint="-0.249977111117893"/>
      </left>
      <right/>
      <top/>
      <bottom/>
      <diagonal/>
    </border>
    <border>
      <left/>
      <right/>
      <top style="thin">
        <color theme="0" tint="-0.14999847407452621"/>
      </top>
      <bottom style="thin">
        <color theme="0" tint="-0.24994659260841701"/>
      </bottom>
      <diagonal/>
    </border>
    <border>
      <left/>
      <right/>
      <top style="thin">
        <color theme="0" tint="-0.24994659260841701"/>
      </top>
      <bottom style="thin">
        <color theme="0" tint="-0.14999847407452621"/>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int="-0.24994659260841701"/>
      </top>
      <bottom style="thin">
        <color theme="0" tint="-0.24994659260841701"/>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style="thin">
        <color indexed="64"/>
      </right>
      <top/>
      <bottom style="thin">
        <color indexed="64"/>
      </bottom>
      <diagonal/>
    </border>
    <border>
      <left/>
      <right/>
      <top style="thin">
        <color theme="0" tint="-0.24994659260841701"/>
      </top>
      <bottom/>
      <diagonal/>
    </border>
    <border>
      <left style="thick">
        <color theme="4" tint="-0.249977111117893"/>
      </left>
      <right/>
      <top/>
      <bottom style="thin">
        <color theme="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theme="0"/>
      </left>
      <right/>
      <top style="thin">
        <color theme="0" tint="-0.24994659260841701"/>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theme="6" tint="0.39997558519241921"/>
      </right>
      <top style="thin">
        <color indexed="64"/>
      </top>
      <bottom style="thin">
        <color indexed="64"/>
      </bottom>
      <diagonal/>
    </border>
    <border>
      <left style="thin">
        <color theme="6" tint="0.39997558519241921"/>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theme="0"/>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theme="0"/>
      </right>
      <top style="thin">
        <color indexed="64"/>
      </top>
      <bottom style="thin">
        <color indexed="64"/>
      </bottom>
      <diagonal/>
    </border>
    <border>
      <left style="thin">
        <color indexed="64"/>
      </left>
      <right/>
      <top style="thin">
        <color indexed="64"/>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style="thin">
        <color theme="0"/>
      </left>
      <right/>
      <top style="thin">
        <color indexed="64"/>
      </top>
      <bottom style="thin">
        <color indexed="64"/>
      </bottom>
      <diagonal/>
    </border>
    <border>
      <left style="thin">
        <color theme="0"/>
      </left>
      <right/>
      <top style="thin">
        <color indexed="64"/>
      </top>
      <bottom style="thin">
        <color theme="0"/>
      </bottom>
      <diagonal/>
    </border>
  </borders>
  <cellStyleXfs count="4">
    <xf numFmtId="0" fontId="0" fillId="0" borderId="0"/>
    <xf numFmtId="0" fontId="9" fillId="0" borderId="0" applyNumberFormat="0" applyFill="0" applyBorder="0" applyAlignment="0" applyProtection="0"/>
    <xf numFmtId="9" fontId="23" fillId="0" borderId="0" applyFont="0" applyFill="0" applyBorder="0" applyAlignment="0" applyProtection="0"/>
    <xf numFmtId="0" fontId="33" fillId="0" borderId="0"/>
  </cellStyleXfs>
  <cellXfs count="479">
    <xf numFmtId="0" fontId="0" fillId="0" borderId="0" xfId="0"/>
    <xf numFmtId="0" fontId="0" fillId="0" borderId="1" xfId="0" applyBorder="1"/>
    <xf numFmtId="0" fontId="0" fillId="0" borderId="0" xfId="0" applyAlignment="1">
      <alignment wrapText="1"/>
    </xf>
    <xf numFmtId="0" fontId="3" fillId="2" borderId="0" xfId="0" applyFont="1" applyFill="1" applyAlignment="1">
      <alignment horizontal="left" vertical="center" wrapText="1"/>
    </xf>
    <xf numFmtId="0" fontId="3" fillId="2" borderId="0" xfId="0" applyFont="1" applyFill="1" applyAlignment="1">
      <alignment horizontal="left" vertical="center"/>
    </xf>
    <xf numFmtId="0" fontId="2" fillId="0" borderId="1" xfId="0" applyFont="1" applyBorder="1" applyAlignment="1">
      <alignment horizontal="left" vertical="top" wrapText="1"/>
    </xf>
    <xf numFmtId="0" fontId="6" fillId="0" borderId="2" xfId="0" applyFont="1" applyBorder="1" applyAlignment="1" applyProtection="1">
      <alignment horizontal="center" vertical="center"/>
      <protection locked="0"/>
    </xf>
    <xf numFmtId="0" fontId="11" fillId="0" borderId="1" xfId="0" applyFont="1" applyBorder="1"/>
    <xf numFmtId="0" fontId="1" fillId="0" borderId="1" xfId="0" applyFont="1" applyBorder="1" applyAlignment="1">
      <alignment horizontal="center"/>
    </xf>
    <xf numFmtId="0" fontId="0" fillId="0" borderId="1" xfId="0" applyBorder="1" applyAlignment="1">
      <alignment horizontal="center"/>
    </xf>
    <xf numFmtId="0" fontId="6" fillId="0" borderId="1" xfId="0" applyFont="1" applyBorder="1" applyAlignment="1" applyProtection="1">
      <alignment vertical="center"/>
      <protection locked="0"/>
    </xf>
    <xf numFmtId="0" fontId="0" fillId="0" borderId="1" xfId="0" applyBorder="1" applyProtection="1">
      <protection locked="0"/>
    </xf>
    <xf numFmtId="0" fontId="16" fillId="0" borderId="0" xfId="0" applyFont="1" applyAlignment="1">
      <alignment vertical="top" wrapText="1"/>
    </xf>
    <xf numFmtId="0" fontId="16" fillId="0" borderId="0" xfId="0" applyFont="1" applyAlignment="1">
      <alignment horizontal="left" vertical="top"/>
    </xf>
    <xf numFmtId="0" fontId="17" fillId="0" borderId="0" xfId="0" applyFont="1" applyAlignment="1">
      <alignment vertical="top"/>
    </xf>
    <xf numFmtId="0" fontId="15" fillId="0" borderId="0" xfId="0" applyFont="1" applyAlignment="1">
      <alignment vertical="top"/>
    </xf>
    <xf numFmtId="0" fontId="18" fillId="0" borderId="0" xfId="0" applyFont="1" applyAlignment="1">
      <alignment horizontal="left" vertical="center"/>
    </xf>
    <xf numFmtId="0" fontId="18" fillId="0" borderId="0" xfId="0" applyFont="1" applyAlignment="1">
      <alignment vertical="center"/>
    </xf>
    <xf numFmtId="0" fontId="19" fillId="0" borderId="0" xfId="0" applyFont="1" applyAlignment="1">
      <alignment vertical="top"/>
    </xf>
    <xf numFmtId="0" fontId="0" fillId="3" borderId="0" xfId="0" applyFill="1"/>
    <xf numFmtId="0" fontId="24" fillId="3" borderId="0" xfId="0" applyFont="1" applyFill="1" applyAlignment="1">
      <alignment horizontal="left" vertical="top" wrapText="1"/>
    </xf>
    <xf numFmtId="0" fontId="0" fillId="3" borderId="0" xfId="0" applyFill="1" applyAlignment="1">
      <alignment horizontal="center"/>
    </xf>
    <xf numFmtId="0" fontId="26" fillId="3" borderId="0" xfId="0" quotePrefix="1" applyFont="1" applyFill="1" applyAlignment="1">
      <alignment horizontal="left" vertical="top" wrapText="1"/>
    </xf>
    <xf numFmtId="0" fontId="27" fillId="7" borderId="0" xfId="0" applyFont="1" applyFill="1" applyAlignment="1">
      <alignment horizontal="left" vertical="top" wrapText="1"/>
    </xf>
    <xf numFmtId="0" fontId="0" fillId="7" borderId="0" xfId="0" applyFill="1"/>
    <xf numFmtId="0" fontId="26" fillId="7" borderId="0" xfId="0" quotePrefix="1" applyFont="1" applyFill="1" applyAlignment="1">
      <alignment horizontal="left" vertical="top" wrapText="1"/>
    </xf>
    <xf numFmtId="0" fontId="14" fillId="7" borderId="0" xfId="0" applyFont="1" applyFill="1" applyAlignment="1">
      <alignment horizontal="left" vertical="center"/>
    </xf>
    <xf numFmtId="0" fontId="28" fillId="7" borderId="0" xfId="0" applyFont="1" applyFill="1" applyAlignment="1">
      <alignment horizontal="left" vertical="center"/>
    </xf>
    <xf numFmtId="0" fontId="28" fillId="7" borderId="0" xfId="0" applyFont="1" applyFill="1" applyAlignment="1">
      <alignment horizontal="left" vertical="center" wrapText="1"/>
    </xf>
    <xf numFmtId="0" fontId="0" fillId="7" borderId="0" xfId="0" applyFill="1" applyAlignment="1">
      <alignment horizontal="left"/>
    </xf>
    <xf numFmtId="0" fontId="1" fillId="7" borderId="6" xfId="0" applyFont="1" applyFill="1" applyBorder="1" applyAlignment="1">
      <alignment horizontal="left"/>
    </xf>
    <xf numFmtId="0" fontId="0" fillId="7" borderId="6" xfId="0" applyFill="1" applyBorder="1" applyAlignment="1">
      <alignment horizontal="left"/>
    </xf>
    <xf numFmtId="9" fontId="0" fillId="7" borderId="6" xfId="2" applyFont="1" applyFill="1" applyBorder="1" applyAlignment="1">
      <alignment horizontal="left"/>
    </xf>
    <xf numFmtId="9" fontId="0" fillId="7" borderId="6" xfId="0" applyNumberFormat="1" applyFill="1" applyBorder="1" applyAlignment="1">
      <alignment horizontal="left"/>
    </xf>
    <xf numFmtId="9" fontId="0" fillId="7" borderId="6" xfId="2" applyFont="1" applyFill="1" applyBorder="1" applyAlignment="1">
      <alignment horizontal="left" vertical="center"/>
    </xf>
    <xf numFmtId="2" fontId="0" fillId="7" borderId="6" xfId="0" applyNumberFormat="1" applyFill="1" applyBorder="1" applyAlignment="1">
      <alignment horizontal="left"/>
    </xf>
    <xf numFmtId="2" fontId="0" fillId="7" borderId="0" xfId="0" applyNumberFormat="1" applyFill="1" applyAlignment="1">
      <alignment horizontal="left"/>
    </xf>
    <xf numFmtId="0" fontId="1" fillId="7" borderId="7" xfId="0" applyFont="1" applyFill="1" applyBorder="1" applyAlignment="1">
      <alignment horizontal="left"/>
    </xf>
    <xf numFmtId="9" fontId="0" fillId="7" borderId="7" xfId="2" applyFont="1" applyFill="1" applyBorder="1" applyAlignment="1">
      <alignment horizontal="left"/>
    </xf>
    <xf numFmtId="9" fontId="0" fillId="7" borderId="7" xfId="2" applyFont="1" applyFill="1" applyBorder="1" applyAlignment="1">
      <alignment horizontal="left" vertical="center"/>
    </xf>
    <xf numFmtId="2" fontId="0" fillId="7" borderId="7" xfId="0" applyNumberFormat="1" applyFill="1" applyBorder="1" applyAlignment="1">
      <alignment horizontal="left"/>
    </xf>
    <xf numFmtId="0" fontId="1" fillId="7" borderId="8" xfId="0" applyFont="1" applyFill="1" applyBorder="1" applyAlignment="1">
      <alignment horizontal="left"/>
    </xf>
    <xf numFmtId="9" fontId="0" fillId="7" borderId="8" xfId="2" applyFont="1" applyFill="1" applyBorder="1" applyAlignment="1">
      <alignment horizontal="left"/>
    </xf>
    <xf numFmtId="9" fontId="0" fillId="7" borderId="8" xfId="2" applyFont="1" applyFill="1" applyBorder="1" applyAlignment="1">
      <alignment horizontal="left" vertical="center"/>
    </xf>
    <xf numFmtId="2" fontId="0" fillId="7" borderId="8" xfId="0" applyNumberFormat="1" applyFill="1" applyBorder="1" applyAlignment="1">
      <alignment horizontal="left"/>
    </xf>
    <xf numFmtId="0" fontId="27" fillId="3" borderId="0" xfId="0" applyFont="1" applyFill="1" applyAlignment="1">
      <alignment horizontal="left" vertical="top" wrapText="1"/>
    </xf>
    <xf numFmtId="0" fontId="28" fillId="3" borderId="0" xfId="0" applyFont="1" applyFill="1" applyAlignment="1">
      <alignment horizontal="left" wrapText="1"/>
    </xf>
    <xf numFmtId="0" fontId="0" fillId="3" borderId="0" xfId="0" applyFill="1" applyAlignment="1">
      <alignment wrapText="1"/>
    </xf>
    <xf numFmtId="0" fontId="0" fillId="3" borderId="5" xfId="0" applyFill="1" applyBorder="1" applyAlignment="1">
      <alignment horizontal="center"/>
    </xf>
    <xf numFmtId="0" fontId="28" fillId="3" borderId="6" xfId="0" applyFont="1" applyFill="1" applyBorder="1" applyAlignment="1">
      <alignment horizontal="center"/>
    </xf>
    <xf numFmtId="0" fontId="29" fillId="3" borderId="6" xfId="0" applyFont="1" applyFill="1" applyBorder="1" applyAlignment="1">
      <alignment horizontal="center" wrapText="1"/>
    </xf>
    <xf numFmtId="0" fontId="0" fillId="7" borderId="10" xfId="0" applyFill="1" applyBorder="1" applyAlignment="1">
      <alignment horizontal="left"/>
    </xf>
    <xf numFmtId="0" fontId="0" fillId="7" borderId="10" xfId="0" quotePrefix="1" applyFill="1" applyBorder="1" applyAlignment="1">
      <alignment horizontal="left"/>
    </xf>
    <xf numFmtId="0" fontId="1" fillId="7" borderId="10" xfId="0" applyFont="1" applyFill="1" applyBorder="1" applyAlignment="1">
      <alignment horizontal="left"/>
    </xf>
    <xf numFmtId="9" fontId="0" fillId="7" borderId="10" xfId="2" applyFont="1" applyFill="1" applyBorder="1" applyAlignment="1">
      <alignment horizontal="left"/>
    </xf>
    <xf numFmtId="0" fontId="0" fillId="7" borderId="0" xfId="0" quotePrefix="1" applyFill="1" applyAlignment="1">
      <alignment horizontal="center" vertical="center"/>
    </xf>
    <xf numFmtId="0" fontId="0" fillId="7" borderId="0" xfId="0" applyFill="1" applyAlignment="1">
      <alignment horizontal="center" vertical="center"/>
    </xf>
    <xf numFmtId="0" fontId="30" fillId="3" borderId="0" xfId="0" applyFont="1" applyFill="1" applyAlignment="1">
      <alignment horizontal="left" vertical="center"/>
    </xf>
    <xf numFmtId="0" fontId="0" fillId="3" borderId="0" xfId="0" applyFill="1" applyAlignment="1">
      <alignment horizontal="left"/>
    </xf>
    <xf numFmtId="0" fontId="15" fillId="3" borderId="0" xfId="0" applyFont="1" applyFill="1" applyAlignment="1">
      <alignment vertical="top" wrapText="1"/>
    </xf>
    <xf numFmtId="9" fontId="0" fillId="7" borderId="13" xfId="2" applyFont="1" applyFill="1" applyBorder="1" applyAlignment="1">
      <alignment horizontal="left"/>
    </xf>
    <xf numFmtId="0" fontId="0" fillId="7" borderId="17" xfId="0" applyFill="1" applyBorder="1" applyAlignment="1">
      <alignment horizontal="left"/>
    </xf>
    <xf numFmtId="0" fontId="0" fillId="7" borderId="18" xfId="0" applyFill="1" applyBorder="1" applyAlignment="1">
      <alignment horizontal="left"/>
    </xf>
    <xf numFmtId="9" fontId="0" fillId="7" borderId="16" xfId="2" applyFont="1" applyFill="1" applyBorder="1" applyAlignment="1">
      <alignment horizontal="left"/>
    </xf>
    <xf numFmtId="0" fontId="31" fillId="8" borderId="0" xfId="0" applyFont="1" applyFill="1"/>
    <xf numFmtId="0" fontId="0" fillId="8" borderId="0" xfId="0" applyFill="1"/>
    <xf numFmtId="0" fontId="0" fillId="7" borderId="10" xfId="0" applyFill="1" applyBorder="1"/>
    <xf numFmtId="0" fontId="31" fillId="7" borderId="10" xfId="0" applyFont="1" applyFill="1" applyBorder="1" applyAlignment="1">
      <alignment vertical="top"/>
    </xf>
    <xf numFmtId="0" fontId="0" fillId="3" borderId="0" xfId="0" applyFill="1" applyAlignment="1">
      <alignment horizontal="right"/>
    </xf>
    <xf numFmtId="0" fontId="0" fillId="7" borderId="0" xfId="0" applyFill="1" applyAlignment="1">
      <alignment horizontal="left" vertical="center" indent="1"/>
    </xf>
    <xf numFmtId="0" fontId="0" fillId="7" borderId="0" xfId="0" applyFill="1" applyAlignment="1">
      <alignment horizontal="left" vertical="center" wrapText="1" indent="1"/>
    </xf>
    <xf numFmtId="0" fontId="10" fillId="9" borderId="0" xfId="0" applyFont="1" applyFill="1" applyAlignment="1">
      <alignment horizontal="center"/>
    </xf>
    <xf numFmtId="0" fontId="10" fillId="5" borderId="0" xfId="0" applyFont="1" applyFill="1"/>
    <xf numFmtId="0" fontId="10" fillId="5" borderId="0" xfId="0" applyFont="1" applyFill="1" applyAlignment="1">
      <alignment horizontal="center"/>
    </xf>
    <xf numFmtId="0" fontId="0" fillId="10" borderId="0" xfId="0" applyFill="1" applyAlignment="1">
      <alignment horizontal="center"/>
    </xf>
    <xf numFmtId="0" fontId="0" fillId="3" borderId="0" xfId="0" quotePrefix="1" applyFill="1"/>
    <xf numFmtId="9" fontId="0" fillId="7" borderId="4" xfId="0" applyNumberFormat="1" applyFill="1" applyBorder="1" applyAlignment="1">
      <alignment horizontal="center"/>
    </xf>
    <xf numFmtId="9" fontId="0" fillId="7" borderId="19" xfId="0" applyNumberFormat="1" applyFill="1" applyBorder="1" applyAlignment="1">
      <alignment horizontal="center"/>
    </xf>
    <xf numFmtId="9" fontId="0" fillId="7" borderId="3" xfId="0" applyNumberFormat="1" applyFill="1" applyBorder="1" applyAlignment="1">
      <alignment horizontal="center"/>
    </xf>
    <xf numFmtId="0" fontId="15" fillId="8" borderId="0" xfId="0" applyFont="1" applyFill="1" applyAlignment="1">
      <alignment vertical="top" wrapText="1"/>
    </xf>
    <xf numFmtId="0" fontId="33" fillId="0" borderId="0" xfId="0" applyFont="1"/>
    <xf numFmtId="0" fontId="33" fillId="3" borderId="0" xfId="0" applyFont="1" applyFill="1"/>
    <xf numFmtId="0" fontId="33" fillId="3" borderId="6" xfId="0" applyFont="1" applyFill="1" applyBorder="1"/>
    <xf numFmtId="0" fontId="34" fillId="3" borderId="6" xfId="0" applyFont="1" applyFill="1" applyBorder="1" applyAlignment="1">
      <alignment horizontal="left"/>
    </xf>
    <xf numFmtId="0" fontId="35" fillId="3" borderId="6" xfId="0" applyFont="1" applyFill="1" applyBorder="1" applyAlignment="1">
      <alignment horizontal="right"/>
    </xf>
    <xf numFmtId="0" fontId="11" fillId="3" borderId="6" xfId="0" applyFont="1" applyFill="1" applyBorder="1" applyAlignment="1">
      <alignment horizontal="center" wrapText="1"/>
    </xf>
    <xf numFmtId="0" fontId="35" fillId="3" borderId="6" xfId="0" applyFont="1" applyFill="1" applyBorder="1" applyAlignment="1">
      <alignment horizontal="center"/>
    </xf>
    <xf numFmtId="0" fontId="35" fillId="3" borderId="6" xfId="0" applyFont="1" applyFill="1" applyBorder="1" applyAlignment="1">
      <alignment horizontal="left"/>
    </xf>
    <xf numFmtId="0" fontId="36" fillId="3" borderId="6" xfId="0" applyFont="1" applyFill="1" applyBorder="1" applyAlignment="1">
      <alignment horizontal="left" wrapText="1"/>
    </xf>
    <xf numFmtId="0" fontId="36" fillId="3" borderId="6" xfId="0" applyFont="1" applyFill="1" applyBorder="1" applyAlignment="1">
      <alignment horizontal="center" wrapText="1"/>
    </xf>
    <xf numFmtId="0" fontId="36" fillId="3" borderId="6" xfId="0" applyFont="1" applyFill="1" applyBorder="1" applyAlignment="1">
      <alignment horizontal="center" vertical="center" wrapText="1"/>
    </xf>
    <xf numFmtId="0" fontId="34" fillId="3" borderId="0" xfId="0" applyFont="1" applyFill="1" applyAlignment="1">
      <alignment horizontal="left"/>
    </xf>
    <xf numFmtId="0" fontId="33" fillId="8" borderId="0" xfId="0" applyFont="1" applyFill="1"/>
    <xf numFmtId="0" fontId="33" fillId="8" borderId="0" xfId="0" applyFont="1" applyFill="1" applyAlignment="1">
      <alignment horizontal="right"/>
    </xf>
    <xf numFmtId="0" fontId="33" fillId="7" borderId="0" xfId="0" applyFont="1" applyFill="1"/>
    <xf numFmtId="9" fontId="37" fillId="7" borderId="0" xfId="2" applyFont="1" applyFill="1" applyBorder="1" applyAlignment="1">
      <alignment horizontal="center" vertical="center"/>
    </xf>
    <xf numFmtId="0" fontId="33" fillId="8" borderId="0" xfId="0" applyFont="1" applyFill="1" applyAlignment="1">
      <alignment horizontal="center"/>
    </xf>
    <xf numFmtId="0" fontId="33" fillId="8" borderId="0" xfId="0" applyFont="1" applyFill="1" applyAlignment="1">
      <alignment horizontal="left"/>
    </xf>
    <xf numFmtId="2" fontId="33" fillId="8" borderId="0" xfId="0" applyNumberFormat="1" applyFont="1" applyFill="1" applyAlignment="1">
      <alignment horizontal="center"/>
    </xf>
    <xf numFmtId="0" fontId="40" fillId="8" borderId="0" xfId="0" applyFont="1" applyFill="1" applyAlignment="1">
      <alignment horizontal="left"/>
    </xf>
    <xf numFmtId="0" fontId="35" fillId="8" borderId="0" xfId="0" applyFont="1" applyFill="1" applyAlignment="1">
      <alignment horizontal="right"/>
    </xf>
    <xf numFmtId="0" fontId="11" fillId="8" borderId="0" xfId="0" applyFont="1" applyFill="1" applyAlignment="1">
      <alignment horizontal="center" wrapText="1"/>
    </xf>
    <xf numFmtId="0" fontId="35" fillId="8" borderId="0" xfId="0" applyFont="1" applyFill="1" applyAlignment="1">
      <alignment horizontal="center"/>
    </xf>
    <xf numFmtId="0" fontId="35" fillId="8" borderId="0" xfId="0" applyFont="1" applyFill="1" applyAlignment="1">
      <alignment horizontal="left"/>
    </xf>
    <xf numFmtId="0" fontId="36" fillId="8" borderId="0" xfId="0" applyFont="1" applyFill="1" applyAlignment="1">
      <alignment horizontal="left" wrapText="1"/>
    </xf>
    <xf numFmtId="0" fontId="36" fillId="8" borderId="0" xfId="0" applyFont="1" applyFill="1" applyAlignment="1">
      <alignment horizontal="center" wrapText="1"/>
    </xf>
    <xf numFmtId="0" fontId="36" fillId="8" borderId="0" xfId="0" applyFont="1" applyFill="1" applyAlignment="1">
      <alignment horizontal="center" vertical="center" wrapText="1"/>
    </xf>
    <xf numFmtId="0" fontId="35" fillId="3" borderId="6" xfId="0" applyFont="1" applyFill="1" applyBorder="1" applyAlignment="1">
      <alignment horizontal="right" vertical="center"/>
    </xf>
    <xf numFmtId="0" fontId="35" fillId="3" borderId="6" xfId="0" applyFont="1" applyFill="1" applyBorder="1" applyAlignment="1">
      <alignment horizontal="center" vertical="center"/>
    </xf>
    <xf numFmtId="0" fontId="35" fillId="3" borderId="6" xfId="0" applyFont="1" applyFill="1" applyBorder="1" applyAlignment="1">
      <alignment horizontal="left" vertical="center"/>
    </xf>
    <xf numFmtId="0" fontId="36" fillId="3" borderId="6" xfId="0" applyFont="1" applyFill="1" applyBorder="1" applyAlignment="1">
      <alignment horizontal="left" vertical="center" wrapText="1"/>
    </xf>
    <xf numFmtId="0" fontId="35" fillId="3" borderId="0" xfId="0" applyFont="1" applyFill="1" applyAlignment="1">
      <alignment horizontal="right" vertical="center"/>
    </xf>
    <xf numFmtId="0" fontId="11" fillId="3" borderId="0" xfId="0" applyFont="1" applyFill="1" applyAlignment="1">
      <alignment horizontal="center" wrapText="1"/>
    </xf>
    <xf numFmtId="0" fontId="35" fillId="3" borderId="0" xfId="0" applyFont="1" applyFill="1" applyAlignment="1">
      <alignment horizontal="center" vertical="center"/>
    </xf>
    <xf numFmtId="0" fontId="35" fillId="3" borderId="0" xfId="0" applyFont="1" applyFill="1" applyAlignment="1">
      <alignment horizontal="left" vertical="center"/>
    </xf>
    <xf numFmtId="0" fontId="36" fillId="3" borderId="0" xfId="0" applyFont="1" applyFill="1" applyAlignment="1">
      <alignment horizontal="left" vertical="center" wrapText="1"/>
    </xf>
    <xf numFmtId="0" fontId="36" fillId="3" borderId="0" xfId="0" applyFont="1" applyFill="1" applyAlignment="1">
      <alignment horizontal="center" vertical="center" wrapText="1"/>
    </xf>
    <xf numFmtId="9" fontId="33" fillId="3" borderId="0" xfId="0" applyNumberFormat="1" applyFont="1" applyFill="1"/>
    <xf numFmtId="0" fontId="21" fillId="2" borderId="0" xfId="0" applyFont="1" applyFill="1" applyAlignment="1">
      <alignment vertical="center"/>
    </xf>
    <xf numFmtId="0" fontId="17" fillId="0" borderId="0" xfId="0" applyFont="1" applyAlignment="1">
      <alignment horizontal="right" vertical="top"/>
    </xf>
    <xf numFmtId="0" fontId="16" fillId="0" borderId="0" xfId="0" applyFont="1" applyAlignment="1">
      <alignment vertical="top"/>
    </xf>
    <xf numFmtId="0" fontId="18" fillId="0" borderId="0" xfId="0" applyFont="1" applyAlignment="1">
      <alignment horizontal="right" vertical="top"/>
    </xf>
    <xf numFmtId="0" fontId="19" fillId="0" borderId="0" xfId="0" applyFont="1" applyAlignment="1">
      <alignment horizontal="right" vertical="top"/>
    </xf>
    <xf numFmtId="0" fontId="20" fillId="0" borderId="0" xfId="0" applyFont="1" applyAlignment="1">
      <alignment horizontal="right" vertical="top"/>
    </xf>
    <xf numFmtId="0" fontId="17" fillId="0" borderId="0" xfId="0" applyFont="1" applyAlignment="1">
      <alignment horizontal="right" vertical="top" wrapText="1"/>
    </xf>
    <xf numFmtId="0" fontId="33" fillId="7" borderId="0" xfId="0" applyFont="1" applyFill="1" applyAlignment="1">
      <alignment horizontal="left" vertical="center"/>
    </xf>
    <xf numFmtId="0" fontId="33" fillId="7" borderId="0" xfId="0" applyFont="1" applyFill="1" applyAlignment="1">
      <alignment horizontal="left"/>
    </xf>
    <xf numFmtId="0" fontId="15" fillId="0" borderId="0" xfId="0" applyFont="1" applyAlignment="1">
      <alignment vertical="top" wrapText="1"/>
    </xf>
    <xf numFmtId="0" fontId="35" fillId="0" borderId="0" xfId="0" applyFont="1" applyAlignment="1">
      <alignment horizontal="left" vertical="center"/>
    </xf>
    <xf numFmtId="0" fontId="36" fillId="0" borderId="0" xfId="0" applyFont="1" applyAlignment="1">
      <alignment horizontal="left" vertical="center" wrapText="1"/>
    </xf>
    <xf numFmtId="0" fontId="36" fillId="0" borderId="0" xfId="0" applyFont="1" applyAlignment="1">
      <alignment horizontal="center" vertical="center" wrapText="1"/>
    </xf>
    <xf numFmtId="0" fontId="33" fillId="0" borderId="0" xfId="0" applyFont="1" applyAlignment="1">
      <alignment horizontal="left"/>
    </xf>
    <xf numFmtId="0" fontId="15" fillId="0" borderId="0" xfId="0" applyFont="1" applyAlignment="1">
      <alignment horizontal="right" vertical="top" wrapText="1"/>
    </xf>
    <xf numFmtId="0" fontId="15" fillId="0" borderId="0" xfId="0" applyFont="1" applyAlignment="1">
      <alignment horizontal="left" vertical="top" wrapText="1"/>
    </xf>
    <xf numFmtId="9" fontId="33" fillId="0" borderId="0" xfId="0" applyNumberFormat="1" applyFont="1" applyAlignment="1">
      <alignment horizontal="left"/>
    </xf>
    <xf numFmtId="9" fontId="33" fillId="0" borderId="0" xfId="0" applyNumberFormat="1" applyFont="1" applyAlignment="1">
      <alignment horizontal="right"/>
    </xf>
    <xf numFmtId="0" fontId="43" fillId="3" borderId="6" xfId="0" applyFont="1" applyFill="1" applyBorder="1" applyAlignment="1">
      <alignment horizontal="left"/>
    </xf>
    <xf numFmtId="0" fontId="36" fillId="7" borderId="0" xfId="0" applyFont="1" applyFill="1" applyAlignment="1">
      <alignment horizontal="center" vertical="top" wrapText="1"/>
    </xf>
    <xf numFmtId="0" fontId="33" fillId="7" borderId="0" xfId="0" applyFont="1" applyFill="1" applyAlignment="1">
      <alignment horizontal="right"/>
    </xf>
    <xf numFmtId="0" fontId="42" fillId="7" borderId="0" xfId="0" applyFont="1" applyFill="1" applyAlignment="1">
      <alignment horizontal="right" vertical="center"/>
    </xf>
    <xf numFmtId="0" fontId="38" fillId="7" borderId="0" xfId="0" applyFont="1" applyFill="1" applyAlignment="1">
      <alignment horizontal="right" vertical="center"/>
    </xf>
    <xf numFmtId="0" fontId="36" fillId="7" borderId="0" xfId="0" quotePrefix="1" applyFont="1" applyFill="1" applyAlignment="1">
      <alignment horizontal="center" vertical="top" wrapText="1"/>
    </xf>
    <xf numFmtId="0" fontId="33" fillId="7" borderId="0" xfId="0" applyFont="1" applyFill="1" applyAlignment="1">
      <alignment vertical="center" wrapText="1"/>
    </xf>
    <xf numFmtId="0" fontId="39" fillId="7" borderId="0" xfId="0" applyFont="1" applyFill="1" applyAlignment="1">
      <alignment horizontal="right" vertical="center"/>
    </xf>
    <xf numFmtId="0" fontId="33" fillId="7" borderId="0" xfId="0" applyFont="1" applyFill="1" applyAlignment="1">
      <alignment wrapText="1"/>
    </xf>
    <xf numFmtId="2" fontId="33" fillId="7" borderId="0" xfId="0" applyNumberFormat="1" applyFont="1" applyFill="1" applyAlignment="1">
      <alignment horizontal="center"/>
    </xf>
    <xf numFmtId="0" fontId="48" fillId="0" borderId="0" xfId="0" applyFont="1" applyAlignment="1">
      <alignment horizontal="left" vertical="center"/>
    </xf>
    <xf numFmtId="0" fontId="9" fillId="0" borderId="0" xfId="1"/>
    <xf numFmtId="0" fontId="0" fillId="0" borderId="27" xfId="0" applyBorder="1"/>
    <xf numFmtId="0" fontId="16" fillId="0" borderId="27" xfId="0" applyFont="1" applyBorder="1" applyAlignment="1">
      <alignment vertical="top"/>
    </xf>
    <xf numFmtId="0" fontId="16" fillId="0" borderId="27" xfId="0" applyFont="1" applyBorder="1" applyAlignment="1">
      <alignment horizontal="center" vertical="top"/>
    </xf>
    <xf numFmtId="0" fontId="17" fillId="0" borderId="27" xfId="0" applyFont="1" applyBorder="1" applyAlignment="1">
      <alignment horizontal="right" vertical="top"/>
    </xf>
    <xf numFmtId="0" fontId="16" fillId="0" borderId="29" xfId="0" applyFont="1" applyBorder="1" applyAlignment="1">
      <alignment horizontal="center" vertical="top"/>
    </xf>
    <xf numFmtId="0" fontId="0" fillId="0" borderId="30" xfId="0" applyBorder="1"/>
    <xf numFmtId="0" fontId="14" fillId="2" borderId="26" xfId="0" applyFont="1" applyFill="1" applyBorder="1" applyAlignment="1">
      <alignment horizontal="center" vertical="center" wrapText="1"/>
    </xf>
    <xf numFmtId="0" fontId="14" fillId="2" borderId="31" xfId="0" applyFont="1" applyFill="1" applyBorder="1" applyAlignment="1">
      <alignment horizontal="center" vertical="center" wrapText="1"/>
    </xf>
    <xf numFmtId="0" fontId="14" fillId="2" borderId="25" xfId="0" applyFont="1" applyFill="1" applyBorder="1" applyAlignment="1">
      <alignment horizontal="center" vertical="center" wrapText="1"/>
    </xf>
    <xf numFmtId="0" fontId="41" fillId="0" borderId="30" xfId="0" applyFont="1" applyBorder="1" applyAlignment="1">
      <alignment horizontal="center" vertical="top"/>
    </xf>
    <xf numFmtId="0" fontId="14" fillId="0" borderId="0" xfId="0" applyFont="1" applyAlignment="1">
      <alignment horizontal="center" vertical="center" wrapText="1"/>
    </xf>
    <xf numFmtId="0" fontId="22" fillId="0" borderId="0" xfId="0" applyFont="1" applyAlignment="1">
      <alignment horizontal="center" vertical="center" wrapText="1"/>
    </xf>
    <xf numFmtId="0" fontId="47" fillId="0" borderId="0" xfId="0" applyFont="1" applyAlignment="1">
      <alignment horizontal="left" vertical="center"/>
    </xf>
    <xf numFmtId="9" fontId="33" fillId="0" borderId="0" xfId="0" applyNumberFormat="1" applyFont="1" applyAlignment="1">
      <alignment horizontal="left" vertical="center"/>
    </xf>
    <xf numFmtId="0" fontId="49" fillId="0" borderId="21" xfId="0" applyFont="1" applyBorder="1" applyAlignment="1">
      <alignment horizontal="center" vertical="center" wrapText="1"/>
    </xf>
    <xf numFmtId="0" fontId="50" fillId="3" borderId="20" xfId="0" applyFont="1" applyFill="1" applyBorder="1" applyAlignment="1">
      <alignment horizontal="center" vertical="center" wrapText="1"/>
    </xf>
    <xf numFmtId="0" fontId="50" fillId="3" borderId="21" xfId="0" applyFont="1" applyFill="1" applyBorder="1" applyAlignment="1">
      <alignment horizontal="center" vertical="center" wrapText="1"/>
    </xf>
    <xf numFmtId="0" fontId="51" fillId="0" borderId="0" xfId="0" applyFont="1" applyAlignment="1">
      <alignment wrapText="1"/>
    </xf>
    <xf numFmtId="0" fontId="50" fillId="3" borderId="24" xfId="0" applyFont="1" applyFill="1" applyBorder="1" applyAlignment="1">
      <alignment horizontal="center" vertical="center" wrapText="1"/>
    </xf>
    <xf numFmtId="0" fontId="52" fillId="0" borderId="0" xfId="0" applyFont="1" applyAlignment="1">
      <alignment vertical="top" wrapText="1"/>
    </xf>
    <xf numFmtId="0" fontId="51" fillId="0" borderId="0" xfId="0" applyFont="1"/>
    <xf numFmtId="0" fontId="53" fillId="0" borderId="0" xfId="0" applyFont="1" applyAlignment="1">
      <alignment horizontal="right" vertical="top" wrapText="1"/>
    </xf>
    <xf numFmtId="0" fontId="52" fillId="0" borderId="0" xfId="0" applyFont="1" applyAlignment="1">
      <alignment vertical="top"/>
    </xf>
    <xf numFmtId="0" fontId="53" fillId="0" borderId="0" xfId="0" applyFont="1" applyAlignment="1">
      <alignment horizontal="right" vertical="top"/>
    </xf>
    <xf numFmtId="0" fontId="52" fillId="0" borderId="0" xfId="0" applyFont="1" applyAlignment="1">
      <alignment horizontal="center" vertical="top"/>
    </xf>
    <xf numFmtId="0" fontId="50" fillId="2" borderId="25" xfId="0" applyFont="1" applyFill="1" applyBorder="1" applyAlignment="1">
      <alignment horizontal="center" vertical="center" wrapText="1"/>
    </xf>
    <xf numFmtId="0" fontId="49" fillId="0" borderId="23" xfId="0" applyFont="1" applyBorder="1" applyAlignment="1">
      <alignment horizontal="center" vertical="center" wrapText="1"/>
    </xf>
    <xf numFmtId="0" fontId="49" fillId="0" borderId="32" xfId="0" applyFont="1" applyBorder="1" applyAlignment="1">
      <alignment horizontal="center" vertical="center" wrapText="1"/>
    </xf>
    <xf numFmtId="0" fontId="16" fillId="0" borderId="0" xfId="0" applyFont="1" applyAlignment="1">
      <alignment horizontal="center" vertical="top"/>
    </xf>
    <xf numFmtId="0" fontId="50" fillId="2" borderId="31" xfId="0" applyFont="1" applyFill="1" applyBorder="1" applyAlignment="1">
      <alignment horizontal="center" vertical="center" wrapText="1"/>
    </xf>
    <xf numFmtId="0" fontId="10" fillId="0" borderId="0" xfId="0" applyFont="1"/>
    <xf numFmtId="0" fontId="5" fillId="4" borderId="0" xfId="0" applyFont="1" applyFill="1" applyAlignment="1">
      <alignment horizontal="center" vertical="center"/>
    </xf>
    <xf numFmtId="0" fontId="5" fillId="3" borderId="0" xfId="0" applyFont="1" applyFill="1" applyAlignment="1">
      <alignment horizontal="left" vertical="center"/>
    </xf>
    <xf numFmtId="0" fontId="5" fillId="3" borderId="0" xfId="0" applyFont="1" applyFill="1" applyAlignment="1">
      <alignment vertical="center"/>
    </xf>
    <xf numFmtId="0" fontId="8" fillId="4" borderId="0" xfId="0" applyFont="1" applyFill="1" applyAlignment="1">
      <alignment horizontal="center" vertical="center"/>
    </xf>
    <xf numFmtId="0" fontId="0" fillId="5" borderId="0" xfId="0" applyFill="1"/>
    <xf numFmtId="0" fontId="12" fillId="3" borderId="0" xfId="0" applyFont="1" applyFill="1" applyAlignment="1">
      <alignment vertical="center"/>
    </xf>
    <xf numFmtId="0" fontId="54" fillId="4" borderId="0" xfId="0" applyFont="1" applyFill="1" applyAlignment="1">
      <alignment horizontal="center" vertical="center"/>
    </xf>
    <xf numFmtId="0" fontId="13" fillId="6" borderId="1" xfId="0" applyFont="1" applyFill="1" applyBorder="1" applyAlignment="1">
      <alignment horizontal="center" vertical="center"/>
    </xf>
    <xf numFmtId="9" fontId="55" fillId="7" borderId="0" xfId="0" applyNumberFormat="1" applyFont="1" applyFill="1" applyAlignment="1">
      <alignment vertical="center"/>
    </xf>
    <xf numFmtId="9" fontId="56" fillId="7" borderId="0" xfId="0" applyNumberFormat="1" applyFont="1" applyFill="1" applyAlignment="1">
      <alignment vertical="center"/>
    </xf>
    <xf numFmtId="9" fontId="57" fillId="7" borderId="0" xfId="0" applyNumberFormat="1" applyFont="1" applyFill="1" applyAlignment="1">
      <alignment vertical="center"/>
    </xf>
    <xf numFmtId="0" fontId="14" fillId="2" borderId="26" xfId="0" applyFont="1" applyFill="1" applyBorder="1" applyAlignment="1">
      <alignment horizontal="center" vertical="center"/>
    </xf>
    <xf numFmtId="0" fontId="58" fillId="0" borderId="0" xfId="0" applyFont="1" applyAlignment="1">
      <alignment horizontal="left" vertical="center"/>
    </xf>
    <xf numFmtId="0" fontId="31" fillId="0" borderId="27" xfId="0" applyFont="1" applyBorder="1"/>
    <xf numFmtId="0" fontId="59" fillId="0" borderId="27" xfId="0" applyFont="1" applyBorder="1" applyAlignment="1">
      <alignment horizontal="center" vertical="center" wrapText="1"/>
    </xf>
    <xf numFmtId="0" fontId="59" fillId="0" borderId="29" xfId="0" applyFont="1" applyBorder="1" applyAlignment="1">
      <alignment horizontal="center" vertical="center" wrapText="1"/>
    </xf>
    <xf numFmtId="0" fontId="33" fillId="0" borderId="0" xfId="3"/>
    <xf numFmtId="0" fontId="1" fillId="0" borderId="34" xfId="3" applyFont="1" applyBorder="1" applyAlignment="1">
      <alignment horizontal="center" vertical="center" wrapText="1"/>
    </xf>
    <xf numFmtId="0" fontId="1" fillId="0" borderId="1" xfId="3" applyFont="1" applyBorder="1" applyAlignment="1">
      <alignment horizontal="center" vertical="center" wrapText="1"/>
    </xf>
    <xf numFmtId="0" fontId="1" fillId="0" borderId="0" xfId="3" applyFont="1" applyAlignment="1">
      <alignment horizontal="center" vertical="center" wrapText="1"/>
    </xf>
    <xf numFmtId="0" fontId="11" fillId="0" borderId="0" xfId="3" applyFont="1"/>
    <xf numFmtId="0" fontId="1" fillId="0" borderId="25" xfId="3" applyFont="1" applyBorder="1" applyAlignment="1">
      <alignment horizontal="center" vertical="center" wrapText="1"/>
    </xf>
    <xf numFmtId="0" fontId="1" fillId="0" borderId="31" xfId="3" applyFont="1" applyBorder="1" applyAlignment="1">
      <alignment horizontal="center" vertical="center" wrapText="1"/>
    </xf>
    <xf numFmtId="0" fontId="33" fillId="0" borderId="0" xfId="3" applyAlignment="1">
      <alignment horizontal="right"/>
    </xf>
    <xf numFmtId="49" fontId="33" fillId="13" borderId="35" xfId="3" applyNumberFormat="1" applyFill="1" applyBorder="1" applyAlignment="1">
      <alignment horizontal="center" vertical="center" wrapText="1"/>
    </xf>
    <xf numFmtId="49" fontId="33" fillId="12" borderId="35" xfId="3" applyNumberFormat="1" applyFill="1" applyBorder="1" applyAlignment="1">
      <alignment horizontal="center" vertical="center" wrapText="1"/>
    </xf>
    <xf numFmtId="49" fontId="33" fillId="14" borderId="35" xfId="3" applyNumberFormat="1" applyFill="1" applyBorder="1" applyAlignment="1">
      <alignment horizontal="center" vertical="center" wrapText="1"/>
    </xf>
    <xf numFmtId="49" fontId="33" fillId="15" borderId="35" xfId="3" applyNumberFormat="1" applyFill="1" applyBorder="1" applyAlignment="1">
      <alignment horizontal="center" vertical="center" wrapText="1"/>
    </xf>
    <xf numFmtId="49" fontId="33" fillId="0" borderId="35" xfId="3" applyNumberFormat="1" applyBorder="1" applyAlignment="1">
      <alignment horizontal="center" vertical="center" wrapText="1"/>
    </xf>
    <xf numFmtId="49" fontId="33" fillId="12" borderId="36" xfId="3" applyNumberFormat="1" applyFill="1" applyBorder="1" applyAlignment="1">
      <alignment horizontal="center" vertical="center" wrapText="1"/>
    </xf>
    <xf numFmtId="49" fontId="33" fillId="13" borderId="34" xfId="3" applyNumberFormat="1" applyFill="1" applyBorder="1" applyAlignment="1">
      <alignment horizontal="center" vertical="center" wrapText="1"/>
    </xf>
    <xf numFmtId="49" fontId="33" fillId="12" borderId="34" xfId="3" applyNumberFormat="1" applyFill="1" applyBorder="1" applyAlignment="1">
      <alignment horizontal="center" vertical="center" wrapText="1"/>
    </xf>
    <xf numFmtId="49" fontId="33" fillId="12" borderId="1" xfId="3" applyNumberFormat="1" applyFill="1" applyBorder="1" applyAlignment="1">
      <alignment horizontal="center" vertical="center" wrapText="1"/>
    </xf>
    <xf numFmtId="49" fontId="33" fillId="15" borderId="36" xfId="3" applyNumberFormat="1" applyFill="1" applyBorder="1" applyAlignment="1">
      <alignment horizontal="center" vertical="center" wrapText="1"/>
    </xf>
    <xf numFmtId="49" fontId="33" fillId="15" borderId="34" xfId="3" applyNumberFormat="1" applyFill="1" applyBorder="1" applyAlignment="1">
      <alignment horizontal="center" vertical="center" wrapText="1"/>
    </xf>
    <xf numFmtId="49" fontId="33" fillId="0" borderId="0" xfId="3" applyNumberFormat="1" applyAlignment="1">
      <alignment horizontal="left" vertical="center" wrapText="1"/>
    </xf>
    <xf numFmtId="49" fontId="33" fillId="16" borderId="36" xfId="3" applyNumberFormat="1" applyFill="1" applyBorder="1" applyAlignment="1">
      <alignment horizontal="center" vertical="center" wrapText="1"/>
    </xf>
    <xf numFmtId="49" fontId="33" fillId="16" borderId="35" xfId="3" applyNumberFormat="1" applyFill="1" applyBorder="1" applyAlignment="1">
      <alignment horizontal="center" vertical="center" wrapText="1"/>
    </xf>
    <xf numFmtId="49" fontId="33" fillId="0" borderId="34" xfId="3" applyNumberFormat="1" applyBorder="1" applyAlignment="1">
      <alignment horizontal="center" vertical="center" wrapText="1"/>
    </xf>
    <xf numFmtId="49" fontId="33" fillId="16" borderId="34" xfId="3" applyNumberFormat="1" applyFill="1" applyBorder="1" applyAlignment="1">
      <alignment horizontal="center" vertical="center" wrapText="1"/>
    </xf>
    <xf numFmtId="49" fontId="33" fillId="0" borderId="36" xfId="3" applyNumberFormat="1" applyBorder="1" applyAlignment="1">
      <alignment horizontal="center" vertical="center" wrapText="1"/>
    </xf>
    <xf numFmtId="49" fontId="33" fillId="0" borderId="1" xfId="3" applyNumberFormat="1" applyBorder="1" applyAlignment="1">
      <alignment horizontal="center" vertical="center" wrapText="1"/>
    </xf>
    <xf numFmtId="0" fontId="33" fillId="0" borderId="1" xfId="3" applyBorder="1" applyAlignment="1">
      <alignment horizontal="center"/>
    </xf>
    <xf numFmtId="0" fontId="33" fillId="0" borderId="1" xfId="3" applyBorder="1" applyAlignment="1">
      <alignment horizontal="right"/>
    </xf>
    <xf numFmtId="0" fontId="33" fillId="0" borderId="1" xfId="3" applyBorder="1"/>
    <xf numFmtId="0" fontId="0" fillId="3" borderId="1" xfId="0" applyFill="1" applyBorder="1"/>
    <xf numFmtId="9" fontId="0" fillId="3" borderId="1" xfId="0" applyNumberFormat="1" applyFill="1" applyBorder="1"/>
    <xf numFmtId="49" fontId="33" fillId="0" borderId="1" xfId="3" applyNumberFormat="1" applyBorder="1"/>
    <xf numFmtId="0" fontId="60" fillId="8" borderId="0" xfId="0" applyFont="1" applyFill="1" applyAlignment="1">
      <alignment vertical="center" wrapText="1"/>
    </xf>
    <xf numFmtId="0" fontId="61" fillId="8" borderId="0" xfId="0" applyFont="1" applyFill="1" applyAlignment="1">
      <alignment vertical="top" wrapText="1"/>
    </xf>
    <xf numFmtId="0" fontId="1" fillId="0" borderId="0" xfId="0" applyFont="1"/>
    <xf numFmtId="0" fontId="33" fillId="0" borderId="0" xfId="3" applyAlignment="1">
      <alignment horizontal="left"/>
    </xf>
    <xf numFmtId="0" fontId="64" fillId="0" borderId="21" xfId="0" applyFont="1" applyBorder="1" applyAlignment="1">
      <alignment horizontal="center" vertical="center" wrapText="1"/>
    </xf>
    <xf numFmtId="0" fontId="65" fillId="0" borderId="21" xfId="0" applyFont="1" applyBorder="1" applyAlignment="1">
      <alignment horizontal="left" vertical="center" wrapText="1" indent="3"/>
    </xf>
    <xf numFmtId="0" fontId="66" fillId="0" borderId="21" xfId="0" applyFont="1" applyBorder="1" applyAlignment="1" applyProtection="1">
      <alignment horizontal="center" vertical="center" wrapText="1"/>
      <protection locked="0"/>
    </xf>
    <xf numFmtId="0" fontId="65" fillId="0" borderId="21" xfId="0" applyFont="1" applyBorder="1" applyAlignment="1">
      <alignment horizontal="center" vertical="center" wrapText="1"/>
    </xf>
    <xf numFmtId="0" fontId="67" fillId="0" borderId="0" xfId="0" applyFont="1" applyAlignment="1">
      <alignment horizontal="left" vertical="center"/>
    </xf>
    <xf numFmtId="0" fontId="65" fillId="0" borderId="21" xfId="0" applyFont="1" applyBorder="1" applyAlignment="1">
      <alignment horizontal="left" vertical="center" wrapText="1"/>
    </xf>
    <xf numFmtId="0" fontId="64" fillId="0" borderId="21" xfId="0" applyFont="1" applyBorder="1" applyAlignment="1">
      <alignment horizontal="left" vertical="center" wrapText="1"/>
    </xf>
    <xf numFmtId="0" fontId="65" fillId="3" borderId="20" xfId="0" applyFont="1" applyFill="1" applyBorder="1" applyAlignment="1">
      <alignment vertical="top" wrapText="1"/>
    </xf>
    <xf numFmtId="0" fontId="68" fillId="3" borderId="20" xfId="0" applyFont="1" applyFill="1" applyBorder="1" applyAlignment="1">
      <alignment horizontal="center" vertical="center" wrapText="1"/>
    </xf>
    <xf numFmtId="0" fontId="69" fillId="3" borderId="20" xfId="0" applyFont="1" applyFill="1" applyBorder="1" applyAlignment="1">
      <alignment horizontal="center" vertical="center" wrapText="1"/>
    </xf>
    <xf numFmtId="0" fontId="69" fillId="3" borderId="21" xfId="0" applyFont="1" applyFill="1" applyBorder="1" applyAlignment="1">
      <alignment horizontal="center" vertical="center" wrapText="1"/>
    </xf>
    <xf numFmtId="0" fontId="68" fillId="3" borderId="21" xfId="0" applyFont="1" applyFill="1" applyBorder="1" applyAlignment="1">
      <alignment horizontal="center" vertical="center" wrapText="1"/>
    </xf>
    <xf numFmtId="0" fontId="69" fillId="0" borderId="21" xfId="0" applyFont="1" applyBorder="1" applyAlignment="1">
      <alignment horizontal="center" vertical="center" wrapText="1"/>
    </xf>
    <xf numFmtId="0" fontId="70" fillId="0" borderId="21" xfId="0" applyFont="1" applyBorder="1" applyAlignment="1">
      <alignment horizontal="center" vertical="center" wrapText="1"/>
    </xf>
    <xf numFmtId="0" fontId="71" fillId="0" borderId="21" xfId="0" applyFont="1" applyBorder="1" applyAlignment="1">
      <alignment horizontal="center" vertical="center" wrapText="1"/>
    </xf>
    <xf numFmtId="0" fontId="66" fillId="0" borderId="21" xfId="0" applyFont="1" applyBorder="1" applyAlignment="1">
      <alignment horizontal="center" vertical="center" wrapText="1"/>
    </xf>
    <xf numFmtId="0" fontId="64" fillId="3" borderId="21" xfId="0" applyFont="1" applyFill="1" applyBorder="1" applyAlignment="1">
      <alignment horizontal="center" vertical="center" wrapText="1"/>
    </xf>
    <xf numFmtId="0" fontId="64" fillId="3" borderId="21" xfId="0" applyFont="1" applyFill="1" applyBorder="1" applyAlignment="1">
      <alignment horizontal="left" vertical="center" wrapText="1"/>
    </xf>
    <xf numFmtId="0" fontId="64" fillId="0" borderId="0" xfId="0" applyFont="1"/>
    <xf numFmtId="0" fontId="71" fillId="0" borderId="21" xfId="0" applyFont="1" applyBorder="1" applyAlignment="1">
      <alignment horizontal="left" vertical="center" wrapText="1"/>
    </xf>
    <xf numFmtId="0" fontId="64" fillId="0" borderId="0" xfId="0" applyFont="1" applyAlignment="1">
      <alignment wrapText="1"/>
    </xf>
    <xf numFmtId="0" fontId="72" fillId="3" borderId="21" xfId="0" applyFont="1" applyFill="1" applyBorder="1" applyAlignment="1">
      <alignment horizontal="center" vertical="center" wrapText="1"/>
    </xf>
    <xf numFmtId="0" fontId="72" fillId="3" borderId="24" xfId="0" applyFont="1" applyFill="1" applyBorder="1" applyAlignment="1">
      <alignment horizontal="center" vertical="center" wrapText="1"/>
    </xf>
    <xf numFmtId="0" fontId="69" fillId="3" borderId="24" xfId="0" applyFont="1" applyFill="1" applyBorder="1" applyAlignment="1">
      <alignment horizontal="center" vertical="center" wrapText="1"/>
    </xf>
    <xf numFmtId="0" fontId="65" fillId="0" borderId="23" xfId="0" applyFont="1" applyBorder="1" applyAlignment="1">
      <alignment horizontal="left" vertical="center" wrapText="1"/>
    </xf>
    <xf numFmtId="0" fontId="66" fillId="0" borderId="23" xfId="0" applyFont="1" applyBorder="1" applyAlignment="1" applyProtection="1">
      <alignment horizontal="center" vertical="center" wrapText="1"/>
      <protection locked="0"/>
    </xf>
    <xf numFmtId="0" fontId="64" fillId="0" borderId="23" xfId="0" applyFont="1" applyBorder="1" applyAlignment="1">
      <alignment horizontal="left" vertical="center" wrapText="1"/>
    </xf>
    <xf numFmtId="0" fontId="64" fillId="0" borderId="23" xfId="0" applyFont="1" applyBorder="1" applyAlignment="1">
      <alignment horizontal="center" vertical="center" wrapText="1"/>
    </xf>
    <xf numFmtId="0" fontId="64" fillId="0" borderId="32" xfId="0" applyFont="1" applyBorder="1" applyAlignment="1">
      <alignment horizontal="center" vertical="center" wrapText="1"/>
    </xf>
    <xf numFmtId="0" fontId="66" fillId="0" borderId="32" xfId="0" applyFont="1" applyBorder="1" applyAlignment="1" applyProtection="1">
      <alignment horizontal="center" vertical="center" wrapText="1"/>
      <protection locked="0"/>
    </xf>
    <xf numFmtId="0" fontId="64" fillId="0" borderId="32" xfId="0" applyFont="1" applyBorder="1" applyAlignment="1">
      <alignment horizontal="left" vertical="center" wrapText="1"/>
    </xf>
    <xf numFmtId="0" fontId="73" fillId="3" borderId="20" xfId="0" applyFont="1" applyFill="1" applyBorder="1" applyAlignment="1">
      <alignment horizontal="center" vertical="center" wrapText="1"/>
    </xf>
    <xf numFmtId="0" fontId="65" fillId="0" borderId="37" xfId="0" applyFont="1" applyBorder="1" applyAlignment="1">
      <alignment horizontal="center" vertical="center" wrapText="1"/>
    </xf>
    <xf numFmtId="0" fontId="64" fillId="0" borderId="28" xfId="0" applyFont="1" applyBorder="1" applyAlignment="1">
      <alignment horizontal="left" vertical="center" wrapText="1"/>
    </xf>
    <xf numFmtId="0" fontId="75" fillId="0" borderId="21" xfId="0" applyFont="1" applyBorder="1" applyAlignment="1">
      <alignment horizontal="center" vertical="center" wrapText="1"/>
    </xf>
    <xf numFmtId="0" fontId="66" fillId="0" borderId="21" xfId="0" applyFont="1" applyBorder="1" applyAlignment="1">
      <alignment horizontal="left" vertical="center" wrapText="1"/>
    </xf>
    <xf numFmtId="0" fontId="76" fillId="0" borderId="21" xfId="0" applyFont="1" applyBorder="1" applyAlignment="1">
      <alignment horizontal="center" vertical="center" wrapText="1"/>
    </xf>
    <xf numFmtId="0" fontId="66" fillId="3" borderId="21" xfId="0" applyFont="1" applyFill="1" applyBorder="1" applyAlignment="1">
      <alignment horizontal="left" vertical="center" wrapText="1"/>
    </xf>
    <xf numFmtId="0" fontId="71" fillId="3" borderId="21" xfId="0" applyFont="1" applyFill="1" applyBorder="1" applyAlignment="1">
      <alignment horizontal="center" vertical="center" wrapText="1"/>
    </xf>
    <xf numFmtId="0" fontId="66" fillId="0" borderId="23" xfId="0" applyFont="1" applyBorder="1" applyAlignment="1">
      <alignment horizontal="left" vertical="center" wrapText="1"/>
    </xf>
    <xf numFmtId="0" fontId="66" fillId="0" borderId="32" xfId="0" applyFont="1" applyBorder="1" applyAlignment="1">
      <alignment horizontal="left" vertical="center" wrapText="1"/>
    </xf>
    <xf numFmtId="0" fontId="77" fillId="0" borderId="0" xfId="0" applyFont="1"/>
    <xf numFmtId="0" fontId="78" fillId="2" borderId="1" xfId="0" applyFont="1" applyFill="1" applyBorder="1" applyAlignment="1">
      <alignment horizontal="center"/>
    </xf>
    <xf numFmtId="0" fontId="74" fillId="0" borderId="1" xfId="0" applyFont="1" applyBorder="1" applyAlignment="1">
      <alignment horizontal="center"/>
    </xf>
    <xf numFmtId="0" fontId="74" fillId="0" borderId="1" xfId="0" applyFont="1" applyBorder="1" applyProtection="1">
      <protection locked="0"/>
    </xf>
    <xf numFmtId="0" fontId="0" fillId="0" borderId="0" xfId="0" applyAlignment="1">
      <alignment vertical="center" wrapText="1"/>
    </xf>
    <xf numFmtId="0" fontId="69" fillId="3" borderId="21" xfId="0" applyFont="1" applyFill="1" applyBorder="1" applyAlignment="1" applyProtection="1">
      <alignment horizontal="center" vertical="center" wrapText="1"/>
      <protection locked="0"/>
    </xf>
    <xf numFmtId="0" fontId="69" fillId="0" borderId="21" xfId="0" applyFont="1" applyBorder="1" applyAlignment="1" applyProtection="1">
      <alignment horizontal="center" vertical="center" wrapText="1"/>
      <protection locked="0"/>
    </xf>
    <xf numFmtId="0" fontId="64" fillId="0" borderId="21" xfId="0" applyFont="1" applyBorder="1" applyAlignment="1" applyProtection="1">
      <alignment horizontal="left" vertical="center" wrapText="1"/>
      <protection locked="0"/>
    </xf>
    <xf numFmtId="0" fontId="64" fillId="3" borderId="21" xfId="0" applyFont="1" applyFill="1" applyBorder="1" applyAlignment="1" applyProtection="1">
      <alignment horizontal="left" vertical="center" wrapText="1"/>
      <protection locked="0"/>
    </xf>
    <xf numFmtId="0" fontId="65" fillId="0" borderId="21" xfId="0" applyFont="1" applyBorder="1" applyAlignment="1" applyProtection="1">
      <alignment horizontal="center" vertical="center" wrapText="1"/>
      <protection locked="0"/>
    </xf>
    <xf numFmtId="0" fontId="65" fillId="3" borderId="21" xfId="0" applyFont="1" applyFill="1" applyBorder="1" applyAlignment="1" applyProtection="1">
      <alignment horizontal="center" vertical="center" wrapText="1"/>
      <protection locked="0"/>
    </xf>
    <xf numFmtId="0" fontId="79" fillId="0" borderId="1" xfId="0" applyFont="1" applyBorder="1" applyAlignment="1">
      <alignment wrapText="1"/>
    </xf>
    <xf numFmtId="0" fontId="79" fillId="0" borderId="1" xfId="0" applyFont="1" applyBorder="1" applyAlignment="1">
      <alignment horizontal="left" wrapText="1"/>
    </xf>
    <xf numFmtId="0" fontId="77" fillId="0" borderId="1" xfId="0" applyFont="1" applyBorder="1" applyAlignment="1">
      <alignment horizontal="left" wrapText="1"/>
    </xf>
    <xf numFmtId="0" fontId="77" fillId="0" borderId="38" xfId="0" applyFont="1" applyBorder="1"/>
    <xf numFmtId="0" fontId="77" fillId="0" borderId="1" xfId="0" applyFont="1" applyBorder="1"/>
    <xf numFmtId="0" fontId="77" fillId="0" borderId="1" xfId="0" applyFont="1" applyBorder="1" applyAlignment="1">
      <alignment horizontal="center" vertical="center"/>
    </xf>
    <xf numFmtId="0" fontId="77" fillId="0" borderId="1" xfId="0" applyFont="1" applyBorder="1" applyAlignment="1">
      <alignment horizontal="left" vertical="center" wrapText="1"/>
    </xf>
    <xf numFmtId="0" fontId="77" fillId="0" borderId="34" xfId="0" quotePrefix="1" applyFont="1" applyBorder="1" applyAlignment="1">
      <alignment wrapText="1"/>
    </xf>
    <xf numFmtId="0" fontId="77" fillId="0" borderId="36" xfId="0" applyFont="1" applyBorder="1" applyAlignment="1">
      <alignment horizontal="left" vertical="center" wrapText="1"/>
    </xf>
    <xf numFmtId="0" fontId="77" fillId="0" borderId="31" xfId="0" applyFont="1" applyBorder="1" applyAlignment="1">
      <alignment horizontal="left" vertical="center" wrapText="1"/>
    </xf>
    <xf numFmtId="0" fontId="77" fillId="0" borderId="39" xfId="0" applyFont="1" applyBorder="1" applyAlignment="1">
      <alignment horizontal="left" vertical="center" wrapText="1"/>
    </xf>
    <xf numFmtId="0" fontId="77" fillId="0" borderId="0" xfId="0" applyFont="1" applyAlignment="1">
      <alignment horizontal="center" vertical="center"/>
    </xf>
    <xf numFmtId="0" fontId="65" fillId="6" borderId="21" xfId="0" applyFont="1" applyFill="1" applyBorder="1" applyAlignment="1">
      <alignment horizontal="left" vertical="center" wrapText="1"/>
    </xf>
    <xf numFmtId="0" fontId="66" fillId="6" borderId="21" xfId="0" applyFont="1" applyFill="1" applyBorder="1" applyAlignment="1" applyProtection="1">
      <alignment horizontal="center" vertical="center" wrapText="1"/>
      <protection locked="0"/>
    </xf>
    <xf numFmtId="0" fontId="64" fillId="6" borderId="21" xfId="0" applyFont="1" applyFill="1" applyBorder="1" applyAlignment="1" applyProtection="1">
      <alignment horizontal="left" vertical="center" wrapText="1"/>
      <protection locked="0"/>
    </xf>
    <xf numFmtId="0" fontId="70" fillId="6" borderId="21" xfId="0" applyFont="1" applyFill="1" applyBorder="1" applyAlignment="1">
      <alignment horizontal="center" vertical="center" wrapText="1"/>
    </xf>
    <xf numFmtId="0" fontId="69" fillId="6" borderId="21" xfId="0" applyFont="1" applyFill="1" applyBorder="1" applyAlignment="1" applyProtection="1">
      <alignment horizontal="center" vertical="center" wrapText="1"/>
      <protection locked="0"/>
    </xf>
    <xf numFmtId="0" fontId="71" fillId="6" borderId="21" xfId="0" applyFont="1" applyFill="1" applyBorder="1" applyAlignment="1">
      <alignment horizontal="center" vertical="center" wrapText="1"/>
    </xf>
    <xf numFmtId="9" fontId="65" fillId="0" borderId="21" xfId="0" applyNumberFormat="1" applyFont="1" applyBorder="1" applyAlignment="1">
      <alignment horizontal="left" vertical="center" wrapText="1"/>
    </xf>
    <xf numFmtId="0" fontId="65" fillId="19" borderId="21" xfId="0" applyFont="1" applyFill="1" applyBorder="1" applyAlignment="1">
      <alignment horizontal="left" vertical="center" wrapText="1" indent="3"/>
    </xf>
    <xf numFmtId="0" fontId="66" fillId="19" borderId="21" xfId="0" applyFont="1" applyFill="1" applyBorder="1" applyAlignment="1" applyProtection="1">
      <alignment horizontal="center" vertical="center" wrapText="1"/>
      <protection locked="0"/>
    </xf>
    <xf numFmtId="0" fontId="71" fillId="19" borderId="21" xfId="0" applyFont="1" applyFill="1" applyBorder="1" applyAlignment="1">
      <alignment horizontal="left" vertical="center" wrapText="1"/>
    </xf>
    <xf numFmtId="0" fontId="65" fillId="19" borderId="21" xfId="0" applyFont="1" applyFill="1" applyBorder="1" applyAlignment="1">
      <alignment horizontal="left" vertical="center" wrapText="1"/>
    </xf>
    <xf numFmtId="0" fontId="64" fillId="19" borderId="21" xfId="0" applyFont="1" applyFill="1" applyBorder="1" applyAlignment="1" applyProtection="1">
      <alignment horizontal="left" vertical="center" wrapText="1"/>
      <protection locked="0"/>
    </xf>
    <xf numFmtId="0" fontId="66" fillId="3" borderId="21" xfId="0" applyFont="1" applyFill="1" applyBorder="1" applyAlignment="1" applyProtection="1">
      <alignment horizontal="center" vertical="center" wrapText="1"/>
      <protection locked="0"/>
    </xf>
    <xf numFmtId="0" fontId="81" fillId="0" borderId="21" xfId="0" applyFont="1" applyBorder="1" applyAlignment="1">
      <alignment horizontal="left" vertical="center" wrapText="1"/>
    </xf>
    <xf numFmtId="0" fontId="82" fillId="0" borderId="21" xfId="0" applyFont="1" applyBorder="1" applyAlignment="1">
      <alignment horizontal="left" vertical="center" wrapText="1"/>
    </xf>
    <xf numFmtId="0" fontId="82" fillId="0" borderId="21" xfId="0" applyFont="1" applyBorder="1" applyAlignment="1" applyProtection="1">
      <alignment horizontal="center" vertical="center" wrapText="1"/>
      <protection locked="0"/>
    </xf>
    <xf numFmtId="0" fontId="71" fillId="0" borderId="21" xfId="0" applyFont="1" applyBorder="1" applyAlignment="1" applyProtection="1">
      <alignment horizontal="center" vertical="center" wrapText="1"/>
      <protection locked="0"/>
    </xf>
    <xf numFmtId="0" fontId="81" fillId="0" borderId="21" xfId="0" applyFont="1" applyBorder="1" applyAlignment="1" applyProtection="1">
      <alignment horizontal="left" vertical="center" wrapText="1"/>
      <protection locked="0"/>
    </xf>
    <xf numFmtId="0" fontId="65" fillId="20" borderId="21" xfId="0" applyFont="1" applyFill="1" applyBorder="1" applyAlignment="1">
      <alignment horizontal="left" vertical="center" wrapText="1"/>
    </xf>
    <xf numFmtId="0" fontId="64" fillId="20" borderId="21" xfId="0" applyFont="1" applyFill="1" applyBorder="1" applyAlignment="1" applyProtection="1">
      <alignment horizontal="left" vertical="center" wrapText="1"/>
      <protection locked="0"/>
    </xf>
    <xf numFmtId="10" fontId="65" fillId="0" borderId="21" xfId="0" applyNumberFormat="1" applyFont="1" applyBorder="1" applyAlignment="1">
      <alignment horizontal="left" vertical="center" wrapText="1"/>
    </xf>
    <xf numFmtId="0" fontId="71" fillId="3" borderId="24" xfId="0" applyFont="1" applyFill="1" applyBorder="1" applyAlignment="1">
      <alignment horizontal="center" vertical="center" wrapText="1"/>
    </xf>
    <xf numFmtId="0" fontId="0" fillId="0" borderId="0" xfId="0" applyAlignment="1">
      <alignment horizontal="center"/>
    </xf>
    <xf numFmtId="0" fontId="79" fillId="0" borderId="38" xfId="0" applyFont="1" applyBorder="1" applyAlignment="1">
      <alignment horizontal="center"/>
    </xf>
    <xf numFmtId="0" fontId="83" fillId="0" borderId="36" xfId="0" applyFont="1" applyBorder="1" applyAlignment="1">
      <alignment horizontal="left" vertical="center" wrapText="1"/>
    </xf>
    <xf numFmtId="0" fontId="79" fillId="21" borderId="40" xfId="0" applyFont="1" applyFill="1" applyBorder="1" applyAlignment="1">
      <alignment horizontal="center" vertical="center"/>
    </xf>
    <xf numFmtId="0" fontId="77" fillId="21" borderId="41" xfId="0" quotePrefix="1" applyFont="1" applyFill="1" applyBorder="1" applyAlignment="1">
      <alignment horizontal="left"/>
    </xf>
    <xf numFmtId="0" fontId="77" fillId="0" borderId="31" xfId="0" applyFont="1" applyBorder="1" applyAlignment="1">
      <alignment horizontal="center" vertical="center"/>
    </xf>
    <xf numFmtId="0" fontId="33" fillId="0" borderId="34" xfId="0" quotePrefix="1" applyFont="1" applyBorder="1" applyAlignment="1">
      <alignment vertical="center" wrapText="1"/>
    </xf>
    <xf numFmtId="0" fontId="56" fillId="0" borderId="34" xfId="0" quotePrefix="1" applyFont="1" applyBorder="1" applyAlignment="1">
      <alignment vertical="center"/>
    </xf>
    <xf numFmtId="0" fontId="55" fillId="0" borderId="34" xfId="0" quotePrefix="1" applyFont="1" applyBorder="1" applyAlignment="1">
      <alignment vertical="center"/>
    </xf>
    <xf numFmtId="0" fontId="33" fillId="0" borderId="34" xfId="0" applyFont="1" applyBorder="1" applyAlignment="1">
      <alignment vertical="center" wrapText="1"/>
    </xf>
    <xf numFmtId="0" fontId="56" fillId="0" borderId="34" xfId="0" quotePrefix="1" applyFont="1" applyBorder="1" applyAlignment="1">
      <alignment vertical="center" wrapText="1"/>
    </xf>
    <xf numFmtId="0" fontId="33" fillId="0" borderId="34" xfId="0" quotePrefix="1" applyFont="1" applyBorder="1" applyAlignment="1">
      <alignment vertical="center"/>
    </xf>
    <xf numFmtId="0" fontId="55" fillId="0" borderId="34" xfId="0" quotePrefix="1" applyFont="1" applyBorder="1" applyAlignment="1">
      <alignment vertical="center" wrapText="1"/>
    </xf>
    <xf numFmtId="0" fontId="77" fillId="0" borderId="34" xfId="0" quotePrefix="1" applyFont="1" applyBorder="1" applyAlignment="1">
      <alignment vertical="center" wrapText="1"/>
    </xf>
    <xf numFmtId="0" fontId="77" fillId="22" borderId="36" xfId="0" applyFont="1" applyFill="1" applyBorder="1" applyAlignment="1">
      <alignment horizontal="center" vertical="center"/>
    </xf>
    <xf numFmtId="0" fontId="77" fillId="22" borderId="36" xfId="0" applyFont="1" applyFill="1" applyBorder="1" applyAlignment="1">
      <alignment horizontal="left" vertical="center" wrapText="1"/>
    </xf>
    <xf numFmtId="0" fontId="77" fillId="22" borderId="36" xfId="0" applyFont="1" applyFill="1" applyBorder="1" applyAlignment="1" applyProtection="1">
      <alignment horizontal="center" vertical="center"/>
      <protection locked="0"/>
    </xf>
    <xf numFmtId="9" fontId="33" fillId="22" borderId="35" xfId="0" quotePrefix="1" applyNumberFormat="1" applyFont="1" applyFill="1" applyBorder="1" applyAlignment="1">
      <alignment vertical="center" wrapText="1"/>
    </xf>
    <xf numFmtId="0" fontId="0" fillId="22" borderId="0" xfId="0" applyFill="1"/>
    <xf numFmtId="0" fontId="77" fillId="23" borderId="36" xfId="0" applyFont="1" applyFill="1" applyBorder="1" applyAlignment="1">
      <alignment horizontal="center" vertical="center"/>
    </xf>
    <xf numFmtId="0" fontId="77" fillId="23" borderId="36" xfId="0" applyFont="1" applyFill="1" applyBorder="1" applyAlignment="1">
      <alignment horizontal="left" vertical="center" wrapText="1"/>
    </xf>
    <xf numFmtId="0" fontId="33" fillId="23" borderId="35" xfId="0" quotePrefix="1" applyFont="1" applyFill="1" applyBorder="1" applyAlignment="1">
      <alignment vertical="center" wrapText="1"/>
    </xf>
    <xf numFmtId="0" fontId="0" fillId="22" borderId="0" xfId="0" applyFill="1" applyAlignment="1">
      <alignment horizontal="center"/>
    </xf>
    <xf numFmtId="0" fontId="0" fillId="22" borderId="0" xfId="0" applyFill="1" applyAlignment="1">
      <alignment wrapText="1"/>
    </xf>
    <xf numFmtId="0" fontId="1" fillId="22" borderId="0" xfId="0" applyFont="1" applyFill="1" applyAlignment="1">
      <alignment horizontal="center"/>
    </xf>
    <xf numFmtId="0" fontId="0" fillId="0" borderId="38" xfId="0" applyBorder="1"/>
    <xf numFmtId="0" fontId="84" fillId="18" borderId="19" xfId="0" applyFont="1" applyFill="1" applyBorder="1" applyAlignment="1">
      <alignment horizontal="center" vertical="center" wrapText="1"/>
    </xf>
    <xf numFmtId="0" fontId="84" fillId="18" borderId="36" xfId="0" applyFont="1" applyFill="1" applyBorder="1" applyAlignment="1">
      <alignment horizontal="center" vertical="center"/>
    </xf>
    <xf numFmtId="0" fontId="84" fillId="18" borderId="3" xfId="0" applyFont="1" applyFill="1" applyBorder="1" applyAlignment="1">
      <alignment horizontal="left" vertical="center" wrapText="1"/>
    </xf>
    <xf numFmtId="0" fontId="84" fillId="18" borderId="3" xfId="0" applyFont="1" applyFill="1" applyBorder="1" applyAlignment="1">
      <alignment horizontal="center" vertical="center"/>
    </xf>
    <xf numFmtId="0" fontId="80" fillId="0" borderId="36" xfId="0" applyFont="1" applyBorder="1" applyAlignment="1">
      <alignment horizontal="left" vertical="center" wrapText="1"/>
    </xf>
    <xf numFmtId="0" fontId="81" fillId="0" borderId="32" xfId="0" applyFont="1" applyBorder="1" applyAlignment="1">
      <alignment horizontal="left" vertical="center" wrapText="1"/>
    </xf>
    <xf numFmtId="0" fontId="83" fillId="0" borderId="1" xfId="0" applyFont="1" applyBorder="1" applyAlignment="1">
      <alignment horizontal="left" vertical="center" wrapText="1"/>
    </xf>
    <xf numFmtId="0" fontId="0" fillId="0" borderId="43" xfId="0" applyBorder="1" applyAlignment="1">
      <alignment horizontal="center"/>
    </xf>
    <xf numFmtId="0" fontId="77" fillId="0" borderId="36" xfId="0" applyFont="1" applyBorder="1" applyAlignment="1">
      <alignment horizontal="center" vertical="center"/>
    </xf>
    <xf numFmtId="0" fontId="80" fillId="0" borderId="1" xfId="0" applyFont="1" applyBorder="1" applyAlignment="1">
      <alignment horizontal="left" vertical="center" wrapText="1"/>
    </xf>
    <xf numFmtId="0" fontId="80" fillId="0" borderId="31" xfId="0" applyFont="1" applyBorder="1" applyAlignment="1">
      <alignment horizontal="left" vertical="center" wrapText="1"/>
    </xf>
    <xf numFmtId="0" fontId="83" fillId="0" borderId="31" xfId="0" applyFont="1" applyBorder="1" applyAlignment="1">
      <alignment horizontal="left" vertical="center" wrapText="1"/>
    </xf>
    <xf numFmtId="0" fontId="77" fillId="0" borderId="39" xfId="0" applyFont="1" applyBorder="1" applyAlignment="1">
      <alignment horizontal="center" vertical="center"/>
    </xf>
    <xf numFmtId="0" fontId="77" fillId="0" borderId="1" xfId="0" quotePrefix="1" applyFont="1" applyBorder="1" applyAlignment="1">
      <alignment horizontal="center" vertical="center"/>
    </xf>
    <xf numFmtId="0" fontId="85" fillId="22" borderId="1" xfId="0" applyFont="1" applyFill="1" applyBorder="1" applyAlignment="1">
      <alignment horizontal="center" vertical="center"/>
    </xf>
    <xf numFmtId="0" fontId="85" fillId="22" borderId="36" xfId="0" applyFont="1" applyFill="1" applyBorder="1" applyAlignment="1">
      <alignment horizontal="center" vertical="center"/>
    </xf>
    <xf numFmtId="0" fontId="85" fillId="22" borderId="1" xfId="0" applyFont="1" applyFill="1" applyBorder="1" applyAlignment="1">
      <alignment horizontal="left" vertical="center" wrapText="1"/>
    </xf>
    <xf numFmtId="9" fontId="85" fillId="22" borderId="34" xfId="0" quotePrefix="1" applyNumberFormat="1" applyFont="1" applyFill="1" applyBorder="1" applyAlignment="1">
      <alignment wrapText="1"/>
    </xf>
    <xf numFmtId="0" fontId="77" fillId="22" borderId="35" xfId="0" applyFont="1" applyFill="1" applyBorder="1" applyAlignment="1" applyProtection="1">
      <alignment horizontal="center" vertical="center"/>
      <protection locked="0"/>
    </xf>
    <xf numFmtId="0" fontId="77" fillId="0" borderId="34" xfId="0" applyFont="1" applyBorder="1" applyAlignment="1">
      <alignment horizontal="center" vertical="center"/>
    </xf>
    <xf numFmtId="0" fontId="0" fillId="0" borderId="3" xfId="0" applyBorder="1"/>
    <xf numFmtId="0" fontId="33" fillId="0" borderId="1" xfId="0" quotePrefix="1" applyFont="1" applyBorder="1" applyAlignment="1">
      <alignment vertical="center"/>
    </xf>
    <xf numFmtId="0" fontId="77" fillId="0" borderId="1" xfId="0" quotePrefix="1" applyFont="1" applyBorder="1" applyAlignment="1">
      <alignment horizontal="left" vertical="center" wrapText="1"/>
    </xf>
    <xf numFmtId="0" fontId="33" fillId="0" borderId="1" xfId="0" quotePrefix="1" applyFont="1" applyBorder="1" applyAlignment="1">
      <alignment vertical="center" wrapText="1"/>
    </xf>
    <xf numFmtId="0" fontId="77" fillId="0" borderId="1" xfId="0" quotePrefix="1" applyFont="1" applyBorder="1" applyAlignment="1">
      <alignment wrapText="1"/>
    </xf>
    <xf numFmtId="9" fontId="33" fillId="22" borderId="3" xfId="0" quotePrefix="1" applyNumberFormat="1" applyFont="1" applyFill="1" applyBorder="1" applyAlignment="1">
      <alignment vertical="center" wrapText="1"/>
    </xf>
    <xf numFmtId="0" fontId="33" fillId="23" borderId="34" xfId="0" quotePrefix="1" applyFont="1" applyFill="1" applyBorder="1" applyAlignment="1">
      <alignment horizontal="left" vertical="center" wrapText="1"/>
    </xf>
    <xf numFmtId="0" fontId="86" fillId="0" borderId="42" xfId="0" applyFont="1" applyBorder="1" applyAlignment="1">
      <alignment horizontal="center" vertical="center" wrapText="1"/>
    </xf>
    <xf numFmtId="0" fontId="1" fillId="0" borderId="35" xfId="0" applyFont="1" applyBorder="1" applyAlignment="1">
      <alignment horizontal="center"/>
    </xf>
    <xf numFmtId="0" fontId="0" fillId="0" borderId="1" xfId="0" applyBorder="1" applyAlignment="1">
      <alignment horizontal="center" vertical="center"/>
    </xf>
    <xf numFmtId="0" fontId="0" fillId="0" borderId="36" xfId="0" applyBorder="1" applyAlignment="1">
      <alignment horizontal="center" vertical="center"/>
    </xf>
    <xf numFmtId="0" fontId="0" fillId="0" borderId="31" xfId="0" applyBorder="1" applyAlignment="1">
      <alignment horizontal="center" vertical="center"/>
    </xf>
    <xf numFmtId="0" fontId="77" fillId="0" borderId="19" xfId="0" applyFont="1" applyBorder="1" applyAlignment="1">
      <alignment horizontal="center" vertical="center"/>
    </xf>
    <xf numFmtId="0" fontId="77" fillId="22" borderId="35" xfId="0" applyFont="1" applyFill="1" applyBorder="1" applyAlignment="1">
      <alignment horizontal="center" vertical="center"/>
    </xf>
    <xf numFmtId="0" fontId="77" fillId="23" borderId="35" xfId="0" applyFont="1" applyFill="1" applyBorder="1" applyAlignment="1">
      <alignment horizontal="center" vertical="center"/>
    </xf>
    <xf numFmtId="0" fontId="0" fillId="0" borderId="0" xfId="0" applyAlignment="1">
      <alignment horizontal="center" vertical="center" wrapText="1"/>
    </xf>
    <xf numFmtId="0" fontId="87" fillId="0" borderId="41" xfId="0" quotePrefix="1" applyFont="1" applyBorder="1" applyAlignment="1">
      <alignment horizontal="left" vertical="center"/>
    </xf>
    <xf numFmtId="0" fontId="83" fillId="0" borderId="55" xfId="0" applyFont="1" applyBorder="1" applyAlignment="1">
      <alignment horizontal="left" vertical="center" wrapText="1"/>
    </xf>
    <xf numFmtId="0" fontId="83" fillId="0" borderId="34" xfId="0" applyFont="1" applyBorder="1" applyAlignment="1">
      <alignment horizontal="left" vertical="center" wrapText="1"/>
    </xf>
    <xf numFmtId="0" fontId="83" fillId="0" borderId="53" xfId="0" applyFont="1" applyBorder="1" applyAlignment="1">
      <alignment horizontal="left" vertical="center" wrapText="1"/>
    </xf>
    <xf numFmtId="0" fontId="87" fillId="0" borderId="56" xfId="0" applyFont="1" applyBorder="1" applyAlignment="1">
      <alignment horizontal="left" vertical="center" wrapText="1"/>
    </xf>
    <xf numFmtId="0" fontId="83" fillId="0" borderId="34" xfId="0" applyFont="1" applyBorder="1" applyAlignment="1">
      <alignment horizontal="left" wrapText="1"/>
    </xf>
    <xf numFmtId="0" fontId="83" fillId="0" borderId="57" xfId="0" applyFont="1" applyBorder="1" applyAlignment="1">
      <alignment horizontal="left" vertical="center" wrapText="1"/>
    </xf>
    <xf numFmtId="0" fontId="79" fillId="0" borderId="40" xfId="0" applyFont="1" applyBorder="1" applyAlignment="1">
      <alignment horizontal="center" vertical="center"/>
    </xf>
    <xf numFmtId="0" fontId="77" fillId="0" borderId="50" xfId="0" applyFont="1" applyBorder="1" applyAlignment="1">
      <alignment horizontal="center" vertical="center"/>
    </xf>
    <xf numFmtId="0" fontId="79" fillId="0" borderId="52" xfId="0" applyFont="1" applyBorder="1" applyAlignment="1">
      <alignment horizontal="center" vertical="center"/>
    </xf>
    <xf numFmtId="0" fontId="77" fillId="0" borderId="54" xfId="0" applyFont="1" applyBorder="1" applyAlignment="1">
      <alignment horizontal="center" vertical="center"/>
    </xf>
    <xf numFmtId="0" fontId="77" fillId="0" borderId="51" xfId="0" applyFont="1" applyBorder="1" applyAlignment="1">
      <alignment horizontal="center" vertical="center"/>
    </xf>
    <xf numFmtId="0" fontId="86" fillId="21" borderId="41" xfId="0" quotePrefix="1" applyFont="1" applyFill="1" applyBorder="1" applyAlignment="1">
      <alignment horizontal="left" vertical="center"/>
    </xf>
    <xf numFmtId="0" fontId="0" fillId="0" borderId="0" xfId="0" quotePrefix="1"/>
    <xf numFmtId="0" fontId="33" fillId="21" borderId="41" xfId="0" quotePrefix="1" applyFont="1" applyFill="1" applyBorder="1" applyAlignment="1">
      <alignment horizontal="left"/>
    </xf>
    <xf numFmtId="0" fontId="0" fillId="0" borderId="31" xfId="0" applyBorder="1" applyAlignment="1">
      <alignment horizontal="center" vertical="center" wrapText="1"/>
    </xf>
    <xf numFmtId="0" fontId="0" fillId="21" borderId="41" xfId="0" quotePrefix="1" applyFill="1" applyBorder="1" applyAlignment="1">
      <alignment horizontal="left"/>
    </xf>
    <xf numFmtId="0" fontId="77" fillId="0" borderId="34" xfId="0" applyFont="1" applyBorder="1" applyAlignment="1">
      <alignment horizontal="center"/>
    </xf>
    <xf numFmtId="0" fontId="86" fillId="0" borderId="44" xfId="0" applyFont="1" applyBorder="1" applyAlignment="1">
      <alignment horizontal="center" vertical="center" wrapText="1"/>
    </xf>
    <xf numFmtId="0" fontId="0" fillId="0" borderId="47" xfId="0" applyBorder="1" applyAlignment="1">
      <alignment horizontal="center"/>
    </xf>
    <xf numFmtId="0" fontId="79" fillId="0" borderId="35" xfId="0" applyFont="1" applyBorder="1" applyAlignment="1">
      <alignment horizontal="center" vertical="center" textRotation="90"/>
    </xf>
    <xf numFmtId="0" fontId="79" fillId="0" borderId="20" xfId="0" applyFont="1" applyBorder="1" applyAlignment="1">
      <alignment horizontal="center" vertical="center" textRotation="90"/>
    </xf>
    <xf numFmtId="0" fontId="79" fillId="0" borderId="39" xfId="0" applyFont="1" applyBorder="1" applyAlignment="1">
      <alignment horizontal="center" vertical="center" textRotation="90"/>
    </xf>
    <xf numFmtId="0" fontId="79" fillId="0" borderId="3" xfId="0" applyFont="1" applyBorder="1" applyAlignment="1">
      <alignment horizontal="center" vertical="center" textRotation="90"/>
    </xf>
    <xf numFmtId="0" fontId="79" fillId="0" borderId="0" xfId="0" applyFont="1" applyAlignment="1">
      <alignment horizontal="center" vertical="center" textRotation="90"/>
    </xf>
    <xf numFmtId="0" fontId="79" fillId="0" borderId="4" xfId="0" applyFont="1" applyBorder="1" applyAlignment="1">
      <alignment horizontal="center" vertical="center" textRotation="90"/>
    </xf>
    <xf numFmtId="0" fontId="79" fillId="0" borderId="25" xfId="0" applyFont="1" applyBorder="1" applyAlignment="1">
      <alignment horizontal="center" vertical="center" textRotation="90"/>
    </xf>
    <xf numFmtId="0" fontId="79" fillId="0" borderId="5" xfId="0" applyFont="1" applyBorder="1" applyAlignment="1">
      <alignment horizontal="center" vertical="center" textRotation="90"/>
    </xf>
    <xf numFmtId="0" fontId="79" fillId="0" borderId="26" xfId="0" applyFont="1" applyBorder="1" applyAlignment="1">
      <alignment horizontal="center" vertical="center" textRotation="90"/>
    </xf>
    <xf numFmtId="0" fontId="24" fillId="21" borderId="3" xfId="0" applyFont="1" applyFill="1" applyBorder="1" applyAlignment="1">
      <alignment horizontal="center" vertical="center"/>
    </xf>
    <xf numFmtId="0" fontId="24" fillId="21" borderId="0" xfId="0" applyFont="1" applyFill="1" applyAlignment="1">
      <alignment horizontal="center" vertical="center"/>
    </xf>
    <xf numFmtId="0" fontId="24" fillId="21" borderId="4" xfId="0" applyFont="1" applyFill="1" applyBorder="1" applyAlignment="1">
      <alignment horizontal="center" vertical="center"/>
    </xf>
    <xf numFmtId="0" fontId="79" fillId="0" borderId="34" xfId="0" applyFont="1" applyBorder="1" applyAlignment="1">
      <alignment horizontal="left"/>
    </xf>
    <xf numFmtId="0" fontId="79" fillId="0" borderId="38" xfId="0" applyFont="1" applyBorder="1" applyAlignment="1">
      <alignment horizontal="left"/>
    </xf>
    <xf numFmtId="14" fontId="77" fillId="0" borderId="34" xfId="0" applyNumberFormat="1" applyFont="1" applyBorder="1" applyAlignment="1">
      <alignment horizontal="left"/>
    </xf>
    <xf numFmtId="14" fontId="77" fillId="0" borderId="38" xfId="0" applyNumberFormat="1" applyFont="1" applyBorder="1" applyAlignment="1">
      <alignment horizontal="left"/>
    </xf>
    <xf numFmtId="0" fontId="77" fillId="0" borderId="34" xfId="0" applyFont="1" applyBorder="1" applyAlignment="1">
      <alignment horizontal="left"/>
    </xf>
    <xf numFmtId="0" fontId="77" fillId="0" borderId="38" xfId="0" applyFont="1" applyBorder="1" applyAlignment="1">
      <alignment horizontal="left"/>
    </xf>
    <xf numFmtId="0" fontId="0" fillId="17" borderId="36" xfId="0" applyFill="1" applyBorder="1" applyAlignment="1" applyProtection="1">
      <alignment horizontal="center" vertical="center" wrapText="1"/>
      <protection locked="0"/>
    </xf>
    <xf numFmtId="0" fontId="0" fillId="17" borderId="19" xfId="0" applyFill="1" applyBorder="1" applyAlignment="1" applyProtection="1">
      <alignment horizontal="center" vertical="center" wrapText="1"/>
      <protection locked="0"/>
    </xf>
    <xf numFmtId="0" fontId="0" fillId="17" borderId="31" xfId="0" applyFill="1" applyBorder="1" applyAlignment="1" applyProtection="1">
      <alignment horizontal="center" vertical="center" wrapText="1"/>
      <protection locked="0"/>
    </xf>
    <xf numFmtId="0" fontId="64" fillId="10" borderId="36" xfId="0" applyFont="1" applyFill="1" applyBorder="1" applyAlignment="1">
      <alignment horizontal="center" vertical="center" wrapText="1"/>
    </xf>
    <xf numFmtId="0" fontId="64" fillId="10" borderId="19" xfId="0" applyFont="1" applyFill="1" applyBorder="1" applyAlignment="1">
      <alignment horizontal="center" vertical="center" wrapText="1"/>
    </xf>
    <xf numFmtId="0" fontId="64" fillId="10" borderId="31" xfId="0" applyFont="1" applyFill="1" applyBorder="1" applyAlignment="1">
      <alignment horizontal="center" vertical="center" wrapText="1"/>
    </xf>
    <xf numFmtId="0" fontId="78" fillId="2" borderId="1" xfId="0" applyFont="1" applyFill="1" applyBorder="1" applyAlignment="1">
      <alignment horizontal="center"/>
    </xf>
    <xf numFmtId="0" fontId="78" fillId="2" borderId="1" xfId="0" applyFont="1" applyFill="1" applyBorder="1" applyAlignment="1">
      <alignment horizontal="center" vertical="center"/>
    </xf>
    <xf numFmtId="0" fontId="4" fillId="3" borderId="0" xfId="0" applyFont="1" applyFill="1" applyAlignment="1">
      <alignment horizontal="left" vertical="center"/>
    </xf>
    <xf numFmtId="0" fontId="7" fillId="2" borderId="0" xfId="0" applyFont="1" applyFill="1" applyAlignment="1">
      <alignment horizontal="left" vertical="center"/>
    </xf>
    <xf numFmtId="0" fontId="6" fillId="0" borderId="2" xfId="0" applyFont="1" applyBorder="1" applyAlignment="1" applyProtection="1">
      <alignment horizontal="center" vertical="center"/>
      <protection locked="0"/>
    </xf>
    <xf numFmtId="0" fontId="9" fillId="0" borderId="2" xfId="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13" fillId="6" borderId="1" xfId="0" applyFont="1" applyFill="1" applyBorder="1" applyAlignment="1">
      <alignment horizontal="center" vertical="center"/>
    </xf>
    <xf numFmtId="0" fontId="21" fillId="2" borderId="0" xfId="0" applyFont="1" applyFill="1" applyAlignment="1">
      <alignment horizontal="center" vertical="center"/>
    </xf>
    <xf numFmtId="0" fontId="28" fillId="11" borderId="9" xfId="0" applyFont="1" applyFill="1" applyBorder="1" applyAlignment="1">
      <alignment horizontal="left" vertical="center" wrapText="1"/>
    </xf>
    <xf numFmtId="0" fontId="28" fillId="11" borderId="11" xfId="0" applyFont="1" applyFill="1" applyBorder="1" applyAlignment="1">
      <alignment horizontal="left" vertical="center" wrapText="1"/>
    </xf>
    <xf numFmtId="0" fontId="28" fillId="11" borderId="12" xfId="0" applyFont="1" applyFill="1" applyBorder="1" applyAlignment="1">
      <alignment horizontal="left" vertical="center" wrapText="1"/>
    </xf>
    <xf numFmtId="0" fontId="0" fillId="7" borderId="17" xfId="0" applyFill="1" applyBorder="1" applyAlignment="1">
      <alignment horizontal="left"/>
    </xf>
    <xf numFmtId="0" fontId="0" fillId="7" borderId="18" xfId="0" applyFill="1" applyBorder="1" applyAlignment="1">
      <alignment horizontal="left"/>
    </xf>
    <xf numFmtId="0" fontId="28" fillId="7" borderId="9" xfId="0" applyFont="1" applyFill="1" applyBorder="1" applyAlignment="1">
      <alignment horizontal="left" vertical="center" wrapText="1"/>
    </xf>
    <xf numFmtId="0" fontId="28" fillId="7" borderId="11" xfId="0" applyFont="1" applyFill="1" applyBorder="1" applyAlignment="1">
      <alignment horizontal="left" vertical="center" wrapText="1"/>
    </xf>
    <xf numFmtId="0" fontId="28" fillId="7" borderId="12" xfId="0" applyFont="1" applyFill="1" applyBorder="1" applyAlignment="1">
      <alignment horizontal="left" vertical="center" wrapText="1"/>
    </xf>
    <xf numFmtId="0" fontId="0" fillId="7" borderId="14" xfId="0" applyFill="1" applyBorder="1" applyAlignment="1">
      <alignment horizontal="left"/>
    </xf>
    <xf numFmtId="0" fontId="0" fillId="7" borderId="15" xfId="0" applyFill="1" applyBorder="1" applyAlignment="1">
      <alignment horizontal="left"/>
    </xf>
    <xf numFmtId="0" fontId="0" fillId="7" borderId="0" xfId="0" applyFill="1" applyAlignment="1">
      <alignment horizontal="left" vertical="center" wrapText="1"/>
    </xf>
    <xf numFmtId="0" fontId="25" fillId="3" borderId="0" xfId="0" applyFont="1" applyFill="1" applyAlignment="1">
      <alignment horizontal="left" vertical="top" wrapText="1"/>
    </xf>
    <xf numFmtId="0" fontId="27" fillId="7" borderId="0" xfId="0" applyFont="1" applyFill="1" applyAlignment="1">
      <alignment horizontal="left" vertical="top" wrapText="1"/>
    </xf>
    <xf numFmtId="0" fontId="28" fillId="3" borderId="0" xfId="0" applyFont="1" applyFill="1" applyAlignment="1">
      <alignment horizontal="left" wrapText="1"/>
    </xf>
    <xf numFmtId="0" fontId="28" fillId="3" borderId="6" xfId="0" applyFont="1" applyFill="1" applyBorder="1" applyAlignment="1">
      <alignment horizontal="left" wrapText="1"/>
    </xf>
    <xf numFmtId="0" fontId="0" fillId="7" borderId="10" xfId="0" applyFill="1" applyBorder="1" applyAlignment="1">
      <alignment horizontal="left"/>
    </xf>
    <xf numFmtId="9" fontId="62" fillId="8" borderId="0" xfId="0" applyNumberFormat="1" applyFont="1" applyFill="1" applyAlignment="1">
      <alignment horizontal="center" vertical="top" wrapText="1"/>
    </xf>
    <xf numFmtId="0" fontId="33" fillId="7" borderId="0" xfId="0" applyFont="1" applyFill="1" applyAlignment="1">
      <alignment horizontal="left" vertical="center" wrapText="1"/>
    </xf>
    <xf numFmtId="0" fontId="33" fillId="7" borderId="0" xfId="0" applyFont="1" applyFill="1" applyAlignment="1">
      <alignment horizontal="left" wrapText="1"/>
    </xf>
    <xf numFmtId="0" fontId="44" fillId="8" borderId="0" xfId="0" applyFont="1" applyFill="1" applyAlignment="1">
      <alignment horizontal="center" vertical="center"/>
    </xf>
    <xf numFmtId="0" fontId="63" fillId="8" borderId="0" xfId="0" applyFont="1" applyFill="1" applyAlignment="1">
      <alignment horizontal="center" vertical="center" wrapText="1"/>
    </xf>
    <xf numFmtId="0" fontId="26" fillId="7" borderId="0" xfId="0" quotePrefix="1" applyFont="1" applyFill="1" applyAlignment="1">
      <alignment horizontal="center" vertical="top" wrapText="1"/>
    </xf>
    <xf numFmtId="0" fontId="46" fillId="0" borderId="22" xfId="0" applyFont="1" applyBorder="1" applyAlignment="1">
      <alignment horizontal="right" vertical="top" wrapText="1"/>
    </xf>
    <xf numFmtId="0" fontId="46" fillId="0" borderId="33" xfId="0" applyFont="1" applyBorder="1" applyAlignment="1">
      <alignment horizontal="right" vertical="top" wrapText="1"/>
    </xf>
    <xf numFmtId="0" fontId="32" fillId="0" borderId="0" xfId="0" applyFont="1" applyAlignment="1">
      <alignment horizontal="right" vertical="top" wrapText="1"/>
    </xf>
    <xf numFmtId="0" fontId="32" fillId="0" borderId="6" xfId="0" applyFont="1" applyBorder="1" applyAlignment="1">
      <alignment horizontal="right" vertical="top" wrapText="1"/>
    </xf>
    <xf numFmtId="0" fontId="26" fillId="8" borderId="0" xfId="0" applyFont="1" applyFill="1" applyAlignment="1">
      <alignment horizontal="center" vertical="center"/>
    </xf>
    <xf numFmtId="9" fontId="61" fillId="8" borderId="0" xfId="0" applyNumberFormat="1" applyFont="1" applyFill="1" applyAlignment="1">
      <alignment horizontal="center" vertical="top" wrapText="1"/>
    </xf>
    <xf numFmtId="1" fontId="45" fillId="0" borderId="6" xfId="0" applyNumberFormat="1" applyFont="1" applyBorder="1" applyAlignment="1">
      <alignment horizontal="left" vertical="center"/>
    </xf>
    <xf numFmtId="1" fontId="45" fillId="0" borderId="6" xfId="0" applyNumberFormat="1" applyFont="1" applyBorder="1" applyAlignment="1">
      <alignment horizontal="center" vertical="center"/>
    </xf>
    <xf numFmtId="0" fontId="79" fillId="24" borderId="44" xfId="0" applyFont="1" applyFill="1" applyBorder="1" applyAlignment="1">
      <alignment horizontal="center"/>
    </xf>
    <xf numFmtId="0" fontId="79" fillId="24" borderId="45" xfId="0" applyFont="1" applyFill="1" applyBorder="1" applyAlignment="1">
      <alignment horizontal="center"/>
    </xf>
    <xf numFmtId="0" fontId="79" fillId="24" borderId="46" xfId="0" applyFont="1" applyFill="1" applyBorder="1" applyAlignment="1">
      <alignment horizontal="center"/>
    </xf>
    <xf numFmtId="0" fontId="24" fillId="0" borderId="47" xfId="0" applyFont="1" applyBorder="1" applyAlignment="1">
      <alignment horizontal="center" vertical="center"/>
    </xf>
    <xf numFmtId="0" fontId="24" fillId="0" borderId="48" xfId="0" applyFont="1" applyBorder="1" applyAlignment="1">
      <alignment horizontal="center" vertical="center"/>
    </xf>
    <xf numFmtId="0" fontId="24" fillId="0" borderId="49" xfId="0" applyFont="1" applyBorder="1" applyAlignment="1">
      <alignment horizontal="center" vertical="center"/>
    </xf>
    <xf numFmtId="0" fontId="83" fillId="0" borderId="1" xfId="0" applyFont="1" applyFill="1" applyBorder="1" applyAlignment="1">
      <alignment horizontal="left" vertical="center" wrapText="1"/>
    </xf>
    <xf numFmtId="0" fontId="77" fillId="0" borderId="1" xfId="0" applyFont="1" applyFill="1" applyBorder="1" applyAlignment="1">
      <alignment horizontal="left" vertical="center" wrapText="1"/>
    </xf>
    <xf numFmtId="0" fontId="80" fillId="0" borderId="1" xfId="0" applyFont="1" applyFill="1" applyBorder="1" applyAlignment="1">
      <alignment horizontal="left" vertical="center" wrapText="1"/>
    </xf>
    <xf numFmtId="0" fontId="77" fillId="0" borderId="36" xfId="0" applyFont="1" applyFill="1" applyBorder="1" applyAlignment="1">
      <alignment horizontal="left" vertical="center" wrapText="1"/>
    </xf>
    <xf numFmtId="0" fontId="77" fillId="0" borderId="39" xfId="0" applyFont="1" applyFill="1" applyBorder="1" applyAlignment="1">
      <alignment horizontal="left" vertical="center" wrapText="1"/>
    </xf>
    <xf numFmtId="0" fontId="77" fillId="25" borderId="34" xfId="0" applyFont="1" applyFill="1" applyBorder="1" applyAlignment="1">
      <alignment horizontal="center" vertical="center"/>
    </xf>
    <xf numFmtId="0" fontId="77" fillId="25" borderId="34" xfId="0" applyFont="1" applyFill="1" applyBorder="1" applyAlignment="1">
      <alignment horizontal="center"/>
    </xf>
    <xf numFmtId="0" fontId="77" fillId="22" borderId="36" xfId="0" applyFont="1" applyFill="1" applyBorder="1" applyAlignment="1">
      <alignment horizontal="center" vertical="center" wrapText="1"/>
    </xf>
    <xf numFmtId="0" fontId="55" fillId="0" borderId="31" xfId="0" quotePrefix="1" applyFont="1" applyBorder="1" applyAlignment="1">
      <alignment vertical="center"/>
    </xf>
    <xf numFmtId="0" fontId="55" fillId="0" borderId="34" xfId="0" applyFont="1" applyBorder="1" applyAlignment="1">
      <alignment vertical="center" wrapText="1"/>
    </xf>
    <xf numFmtId="0" fontId="55" fillId="0" borderId="1" xfId="0" quotePrefix="1" applyFont="1" applyBorder="1" applyAlignment="1">
      <alignment vertical="center"/>
    </xf>
  </cellXfs>
  <cellStyles count="4">
    <cellStyle name="Hiperlink" xfId="1" builtinId="8"/>
    <cellStyle name="Normal" xfId="0" builtinId="0"/>
    <cellStyle name="Normal 2" xfId="3" xr:uid="{00000000-0005-0000-0000-000002000000}"/>
    <cellStyle name="Porcentagem" xfId="2" builtinId="5"/>
  </cellStyles>
  <dxfs count="141">
    <dxf>
      <font>
        <color theme="1"/>
      </font>
    </dxf>
    <dxf>
      <font>
        <color theme="1"/>
      </font>
    </dxf>
    <dxf>
      <font>
        <b/>
        <i val="0"/>
        <color theme="0"/>
      </font>
      <fill>
        <patternFill>
          <bgColor theme="9" tint="-0.499984740745262"/>
        </patternFill>
      </fill>
    </dxf>
    <dxf>
      <fill>
        <patternFill>
          <bgColor rgb="FFC09B3E"/>
        </patternFill>
      </fill>
    </dxf>
    <dxf>
      <fill>
        <patternFill>
          <bgColor theme="4" tint="0.59996337778862885"/>
        </patternFill>
      </fill>
    </dxf>
    <dxf>
      <fill>
        <patternFill>
          <bgColor theme="0" tint="-0.24994659260841701"/>
        </patternFill>
      </fill>
    </dxf>
    <dxf>
      <fill>
        <patternFill>
          <bgColor rgb="FFFFC000"/>
        </patternFill>
      </fill>
    </dxf>
    <dxf>
      <fill>
        <patternFill>
          <bgColor rgb="FFC00000"/>
        </patternFill>
      </fill>
    </dxf>
    <dxf>
      <font>
        <color theme="1"/>
      </font>
      <fill>
        <patternFill>
          <bgColor theme="0"/>
        </patternFill>
      </fill>
    </dxf>
    <dxf>
      <fill>
        <patternFill>
          <bgColor theme="0"/>
        </patternFill>
      </fill>
    </dxf>
    <dxf>
      <fill>
        <patternFill>
          <bgColor rgb="FF00B050"/>
        </patternFill>
      </fill>
    </dxf>
    <dxf>
      <fill>
        <patternFill>
          <bgColor rgb="FF2D953E"/>
        </patternFill>
      </fill>
    </dxf>
    <dxf>
      <fill>
        <patternFill>
          <bgColor rgb="FFC09B3E"/>
        </patternFill>
      </fill>
    </dxf>
    <dxf>
      <fill>
        <patternFill>
          <bgColor theme="4" tint="0.59996337778862885"/>
        </patternFill>
      </fill>
    </dxf>
    <dxf>
      <fill>
        <patternFill>
          <bgColor theme="0" tint="-0.24994659260841701"/>
        </patternFill>
      </fill>
    </dxf>
    <dxf>
      <fill>
        <patternFill>
          <bgColor rgb="FFFFC000"/>
        </patternFill>
      </fill>
    </dxf>
    <dxf>
      <fill>
        <patternFill>
          <bgColor rgb="FFC09B3E"/>
        </patternFill>
      </fill>
    </dxf>
    <dxf>
      <fill>
        <patternFill>
          <bgColor theme="4" tint="0.59996337778862885"/>
        </patternFill>
      </fill>
    </dxf>
    <dxf>
      <fill>
        <patternFill>
          <bgColor theme="0" tint="-0.24994659260841701"/>
        </patternFill>
      </fill>
    </dxf>
    <dxf>
      <fill>
        <patternFill>
          <bgColor rgb="FFFFC000"/>
        </patternFill>
      </fill>
    </dxf>
    <dxf>
      <fill>
        <patternFill>
          <bgColor rgb="FFC09B3E"/>
        </patternFill>
      </fill>
    </dxf>
    <dxf>
      <fill>
        <patternFill>
          <bgColor theme="4" tint="0.59996337778862885"/>
        </patternFill>
      </fill>
    </dxf>
    <dxf>
      <fill>
        <patternFill>
          <bgColor theme="0" tint="-0.24994659260841701"/>
        </patternFill>
      </fill>
    </dxf>
    <dxf>
      <fill>
        <patternFill>
          <bgColor rgb="FFFFC000"/>
        </patternFill>
      </fill>
    </dxf>
    <dxf>
      <fill>
        <patternFill>
          <bgColor theme="9"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9999"/>
        </patternFill>
      </fill>
    </dxf>
    <dxf>
      <fill>
        <patternFill>
          <bgColor rgb="FFFF9999"/>
        </patternFill>
      </fill>
    </dxf>
    <dxf>
      <fill>
        <patternFill>
          <bgColor rgb="FFFF7C8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999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theme="9" tint="0.79998168889431442"/>
        </patternFill>
      </fill>
    </dxf>
    <dxf>
      <fill>
        <patternFill>
          <bgColor rgb="FFF4DFD8"/>
        </patternFill>
      </fill>
    </dxf>
    <dxf>
      <fill>
        <patternFill>
          <bgColor theme="0" tint="-0.14996795556505021"/>
        </patternFill>
      </fill>
    </dxf>
    <dxf>
      <fill>
        <patternFill>
          <bgColor theme="9"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ill>
        <patternFill>
          <bgColor theme="9" tint="0.79998168889431442"/>
        </patternFill>
      </fill>
    </dxf>
    <dxf>
      <fill>
        <patternFill>
          <bgColor rgb="FFF4DFD8"/>
        </patternFill>
      </fill>
    </dxf>
    <dxf>
      <fill>
        <patternFill>
          <bgColor theme="0" tint="-0.14996795556505021"/>
        </patternFill>
      </fill>
    </dxf>
    <dxf>
      <font>
        <color theme="0" tint="-0.24994659260841701"/>
      </font>
      <fill>
        <patternFill patternType="none">
          <bgColor auto="1"/>
        </patternFill>
      </fill>
    </dxf>
    <dxf>
      <font>
        <b val="0"/>
        <i val="0"/>
        <strike val="0"/>
        <condense val="0"/>
        <extend val="0"/>
        <outline val="0"/>
        <shadow val="0"/>
        <u val="none"/>
        <vertAlign val="baseline"/>
        <sz val="12"/>
        <color theme="1"/>
        <name val="Calibri Light"/>
        <scheme val="maj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Light"/>
        <scheme val="maj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Light"/>
        <scheme val="maj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Light"/>
        <scheme val="major"/>
      </font>
      <alignment horizontal="left" vertical="top" textRotation="0" wrapText="1" indent="0" justifyLastLine="0" shrinkToFit="0" readingOrder="0"/>
    </dxf>
    <dxf>
      <font>
        <strike val="0"/>
        <outline val="0"/>
        <shadow val="0"/>
        <u val="none"/>
        <vertAlign val="baseline"/>
        <sz val="8"/>
        <color theme="1"/>
        <name val="Open Sans Regular"/>
        <scheme val="none"/>
      </font>
      <numFmt numFmtId="0" formatCode="General"/>
      <alignment horizontal="left" vertical="center" textRotation="0" wrapText="1" indent="0" justifyLastLine="0" shrinkToFit="0" readingOrder="0"/>
    </dxf>
    <dxf>
      <font>
        <strike val="0"/>
        <outline val="0"/>
        <shadow val="0"/>
        <u val="none"/>
        <vertAlign val="baseline"/>
        <sz val="8"/>
        <color theme="1"/>
        <name val="Open Sans Regular"/>
        <scheme val="none"/>
      </font>
      <numFmt numFmtId="0" formatCode="General"/>
      <alignment horizontal="left" vertical="center" textRotation="0" wrapText="1" indent="0" justifyLastLine="0" shrinkToFit="0" readingOrder="0"/>
    </dxf>
    <dxf>
      <font>
        <strike val="0"/>
        <outline val="0"/>
        <shadow val="0"/>
        <u val="none"/>
        <vertAlign val="baseline"/>
        <sz val="8"/>
        <color theme="1"/>
        <name val="Open Sans Regular"/>
        <scheme val="none"/>
      </font>
      <numFmt numFmtId="0" formatCode="General"/>
      <alignment horizontal="left" vertical="center" textRotation="0" wrapText="1" indent="0" justifyLastLine="0" shrinkToFit="0" readingOrder="0"/>
    </dxf>
    <dxf>
      <font>
        <strike val="0"/>
        <outline val="0"/>
        <shadow val="0"/>
        <u val="none"/>
        <vertAlign val="baseline"/>
        <sz val="8"/>
        <color theme="1"/>
        <name val="Open Sans Regular"/>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0"/>
        <color auto="1"/>
        <name val="Open Sans Regular"/>
        <scheme val="none"/>
      </font>
      <alignment horizontal="center" vertical="center" textRotation="0" wrapText="1" indent="0" justifyLastLine="0" shrinkToFit="0" readingOrder="0"/>
      <border diagonalUp="0" diagonalDown="0" outline="0">
        <left/>
        <right/>
        <top style="thin">
          <color theme="0" tint="-0.24994659260841701"/>
        </top>
        <bottom style="thin">
          <color theme="0" tint="-0.24994659260841701"/>
        </bottom>
      </border>
    </dxf>
    <dxf>
      <font>
        <b/>
        <i val="0"/>
        <strike val="0"/>
        <condense val="0"/>
        <extend val="0"/>
        <outline val="0"/>
        <shadow val="0"/>
        <u val="none"/>
        <vertAlign val="baseline"/>
        <sz val="10"/>
        <color auto="1"/>
        <name val="Open Sans Regular"/>
        <scheme val="none"/>
      </font>
      <numFmt numFmtId="0" formatCode="General"/>
      <alignment horizontal="center" vertical="center" textRotation="0" wrapText="1" indent="0" justifyLastLine="0" shrinkToFit="0" readingOrder="0"/>
      <border diagonalUp="0" diagonalDown="0" outline="0">
        <left style="thin">
          <color theme="0"/>
        </left>
        <right/>
        <top style="thin">
          <color theme="0" tint="-0.24994659260841701"/>
        </top>
        <bottom style="thin">
          <color theme="0" tint="-0.24994659260841701"/>
        </bottom>
      </border>
    </dxf>
    <dxf>
      <font>
        <b val="0"/>
        <i val="0"/>
        <strike val="0"/>
        <condense val="0"/>
        <extend val="0"/>
        <outline val="0"/>
        <shadow val="0"/>
        <u val="none"/>
        <vertAlign val="baseline"/>
        <sz val="8"/>
        <color auto="1"/>
        <name val="Calibri Light"/>
        <scheme val="major"/>
      </font>
      <numFmt numFmtId="0" formatCode="General"/>
      <alignment horizontal="center" vertical="center" textRotation="0" wrapText="1" indent="0" justifyLastLine="0" shrinkToFit="0" readingOrder="0"/>
      <border diagonalUp="0" diagonalDown="0">
        <left/>
        <right style="thin">
          <color theme="0"/>
        </right>
        <top style="thin">
          <color theme="0"/>
        </top>
        <bottom style="thin">
          <color theme="0"/>
        </bottom>
      </border>
    </dxf>
    <dxf>
      <font>
        <strike val="0"/>
        <outline val="0"/>
        <shadow val="0"/>
        <u val="none"/>
        <vertAlign val="baseline"/>
        <sz val="10"/>
        <color auto="1"/>
        <name val="Calibri Light"/>
        <scheme val="major"/>
      </font>
      <alignment horizontal="center" vertical="center" textRotation="0" wrapText="1" indent="0" justifyLastLine="0" shrinkToFit="0" readingOrder="0"/>
      <border outline="0">
        <left/>
        <right style="thin">
          <color theme="0"/>
        </right>
      </border>
    </dxf>
    <dxf>
      <font>
        <strike val="0"/>
        <outline val="0"/>
        <shadow val="0"/>
        <u val="none"/>
        <vertAlign val="baseline"/>
        <sz val="10"/>
        <color theme="1"/>
        <name val="Open Sans Regular"/>
        <scheme val="none"/>
      </font>
      <alignment horizontal="center" vertical="center" textRotation="0" wrapText="1" indent="0" justifyLastLine="0" shrinkToFit="0" readingOrder="0"/>
    </dxf>
    <dxf>
      <font>
        <strike val="0"/>
        <outline val="0"/>
        <shadow val="0"/>
        <u val="none"/>
        <vertAlign val="baseline"/>
        <sz val="10"/>
        <color theme="1"/>
        <name val="Open Sans Regular"/>
        <scheme val="none"/>
      </font>
      <alignment horizontal="center" vertical="center" textRotation="0" wrapText="1" indent="0" justifyLastLine="0" shrinkToFit="0" readingOrder="0"/>
    </dxf>
    <dxf>
      <font>
        <b/>
        <strike val="0"/>
        <outline val="0"/>
        <shadow val="0"/>
        <u val="none"/>
        <vertAlign val="baseline"/>
        <sz val="10"/>
        <color theme="1"/>
        <name val="Open Sans Regular"/>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Open Sans Regular"/>
        <scheme val="none"/>
      </font>
      <numFmt numFmtId="0" formatCode="General"/>
      <alignment horizontal="left" vertical="center" textRotation="0" wrapText="1" indent="0" justifyLastLine="0" shrinkToFit="0" readingOrder="0"/>
      <border diagonalUp="0" diagonalDown="0">
        <left/>
        <right/>
        <top style="thin">
          <color theme="0" tint="-0.24994659260841701"/>
        </top>
        <bottom style="thin">
          <color theme="0" tint="-0.24994659260841701"/>
        </bottom>
        <vertical/>
        <horizontal/>
      </border>
    </dxf>
    <dxf>
      <font>
        <b val="0"/>
        <strike val="0"/>
        <outline val="0"/>
        <shadow val="0"/>
        <u val="none"/>
        <vertAlign val="baseline"/>
        <sz val="10"/>
        <color auto="1"/>
        <name val="Open Sans Regular"/>
        <scheme val="none"/>
      </font>
      <alignment horizontal="left" vertical="center" textRotation="0" wrapText="1" indent="0" justifyLastLine="0" shrinkToFit="0" readingOrder="0"/>
    </dxf>
    <dxf>
      <font>
        <strike val="0"/>
        <outline val="0"/>
        <shadow val="0"/>
        <u val="none"/>
        <vertAlign val="baseline"/>
        <sz val="10"/>
        <color theme="1"/>
        <name val="Open Sans Regular"/>
        <scheme val="none"/>
      </font>
      <alignment horizontal="center" vertical="center" textRotation="0" wrapText="1" indent="0" justifyLastLine="0" shrinkToFit="0" readingOrder="0"/>
    </dxf>
    <dxf>
      <border>
        <top style="thin">
          <color indexed="64"/>
        </top>
      </border>
    </dxf>
    <dxf>
      <border diagonalUp="0" diagonalDown="0">
        <left/>
        <right/>
        <top/>
        <bottom/>
      </border>
    </dxf>
    <dxf>
      <font>
        <strike val="0"/>
        <outline val="0"/>
        <shadow val="0"/>
        <u val="none"/>
        <vertAlign val="baseline"/>
        <sz val="8"/>
        <color theme="1"/>
        <name val="Calibri Light"/>
        <scheme val="major"/>
      </font>
      <alignment vertical="center" textRotation="0" wrapText="1" indent="0" justifyLastLine="0" shrinkToFit="0" readingOrder="0"/>
    </dxf>
    <dxf>
      <border>
        <bottom style="thin">
          <color indexed="64"/>
        </bottom>
      </border>
    </dxf>
    <dxf>
      <alignmen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4"/>
        <color theme="1"/>
        <name val="Calibri"/>
        <scheme val="minor"/>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right style="thin">
          <color indexed="64"/>
        </right>
        <top style="thin">
          <color indexed="64"/>
        </top>
        <bottom style="thin">
          <color indexed="64"/>
        </bottom>
      </border>
    </dxf>
    <dxf>
      <font>
        <strike val="0"/>
        <outline val="0"/>
        <shadow val="0"/>
        <u val="none"/>
        <vertAlign val="baseline"/>
        <sz val="12"/>
        <color auto="1"/>
        <name val="Calibri"/>
        <scheme val="minor"/>
      </font>
      <fill>
        <patternFill patternType="solid">
          <fgColor indexed="64"/>
          <bgColor rgb="FFAAC56D"/>
        </patternFill>
      </fill>
      <alignment horizontal="left" vertical="center" textRotation="0" indent="0" justifyLastLine="0" shrinkToFit="0" readingOrder="0"/>
    </dxf>
    <dxf>
      <fill>
        <patternFill>
          <bgColor rgb="FF2D953E"/>
        </patternFill>
      </fill>
    </dxf>
    <dxf>
      <fill>
        <patternFill>
          <bgColor rgb="FFECECED"/>
        </patternFill>
      </fill>
    </dxf>
    <dxf>
      <fill>
        <patternFill>
          <bgColor rgb="FF2D953E"/>
        </patternFill>
      </fill>
    </dxf>
  </dxfs>
  <tableStyles count="3" defaultTableStyle="TableStyleMedium2" defaultPivotStyle="PivotStyleLight16">
    <tableStyle name="Table Style 1" pivot="0" count="1" xr9:uid="{00000000-0011-0000-FFFF-FFFF00000000}">
      <tableStyleElement type="headerRow" dxfId="140"/>
    </tableStyle>
    <tableStyle name="Table Style 2" pivot="0" count="1" xr9:uid="{00000000-0011-0000-FFFF-FFFF01000000}">
      <tableStyleElement type="firstRowStripe" dxfId="139"/>
    </tableStyle>
    <tableStyle name="Table Style 3" pivot="0" count="1" xr9:uid="{00000000-0011-0000-FFFF-FFFF02000000}">
      <tableStyleElement type="headerRow" dxfId="138"/>
    </tableStyle>
  </tableStyles>
  <colors>
    <mruColors>
      <color rgb="FFFF9999"/>
      <color rgb="FFFF7C80"/>
      <color rgb="FFBFBFBF"/>
      <color rgb="FF2D953E"/>
      <color rgb="FFD9D9D9"/>
      <color rgb="FFF4DFD8"/>
      <color rgb="FFDFCFCF"/>
      <color rgb="FFC4A5A4"/>
      <color rgb="FFAF8483"/>
      <color rgb="FFE7D1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6.6115683357357874E-2"/>
          <c:w val="0.97619048363002014"/>
          <c:h val="0.83838388512645856"/>
        </c:manualLayout>
      </c:layout>
      <c:barChart>
        <c:barDir val="bar"/>
        <c:grouping val="percentStacked"/>
        <c:varyColors val="0"/>
        <c:ser>
          <c:idx val="0"/>
          <c:order val="0"/>
          <c:tx>
            <c:strRef>
              <c:f>FX!$N$5</c:f>
              <c:strCache>
                <c:ptCount val="1"/>
                <c:pt idx="0">
                  <c:v>Bronze</c:v>
                </c:pt>
              </c:strCache>
            </c:strRef>
          </c:tx>
          <c:spPr>
            <a:pattFill prst="dkUpDiag">
              <a:fgClr>
                <a:srgbClr val="DBBDB7"/>
              </a:fgClr>
              <a:bgClr>
                <a:schemeClr val="bg1">
                  <a:lumMod val="95000"/>
                </a:schemeClr>
              </a:bgClr>
            </a:pattFill>
            <a:ln>
              <a:noFill/>
            </a:ln>
            <a:effectLst/>
          </c:spPr>
          <c:invertIfNegative val="0"/>
          <c:dPt>
            <c:idx val="2"/>
            <c:invertIfNegative val="0"/>
            <c:bubble3D val="0"/>
            <c:spPr>
              <a:pattFill prst="dkUpDiag">
                <a:fgClr>
                  <a:schemeClr val="bg2">
                    <a:lumMod val="90000"/>
                  </a:schemeClr>
                </a:fgClr>
                <a:bgClr>
                  <a:schemeClr val="bg1">
                    <a:lumMod val="95000"/>
                  </a:schemeClr>
                </a:bgClr>
              </a:pattFill>
              <a:ln>
                <a:noFill/>
              </a:ln>
              <a:effectLst/>
            </c:spPr>
            <c:extLst>
              <c:ext xmlns:c16="http://schemas.microsoft.com/office/drawing/2014/chart" uri="{C3380CC4-5D6E-409C-BE32-E72D297353CC}">
                <c16:uniqueId val="{00000001-678E-439B-9CAE-D83014B75B3D}"/>
              </c:ext>
            </c:extLst>
          </c:dPt>
          <c:val>
            <c:numRef>
              <c:f>FX!$N$6:$N$8</c:f>
              <c:numCache>
                <c:formatCode>0.00</c:formatCode>
                <c:ptCount val="3"/>
                <c:pt idx="0">
                  <c:v>1</c:v>
                </c:pt>
                <c:pt idx="1">
                  <c:v>0.5</c:v>
                </c:pt>
                <c:pt idx="2">
                  <c:v>0.5</c:v>
                </c:pt>
              </c:numCache>
            </c:numRef>
          </c:val>
          <c:extLst>
            <c:ext xmlns:c16="http://schemas.microsoft.com/office/drawing/2014/chart" uri="{C3380CC4-5D6E-409C-BE32-E72D297353CC}">
              <c16:uniqueId val="{00000002-678E-439B-9CAE-D83014B75B3D}"/>
            </c:ext>
          </c:extLst>
        </c:ser>
        <c:ser>
          <c:idx val="1"/>
          <c:order val="1"/>
          <c:tx>
            <c:strRef>
              <c:f>FX!$O$5</c:f>
              <c:strCache>
                <c:ptCount val="1"/>
                <c:pt idx="0">
                  <c:v>Silver</c:v>
                </c:pt>
              </c:strCache>
            </c:strRef>
          </c:tx>
          <c:spPr>
            <a:solidFill>
              <a:srgbClr val="DFCFCF"/>
            </a:solidFill>
            <a:ln>
              <a:noFill/>
            </a:ln>
            <a:effectLst/>
          </c:spPr>
          <c:invertIfNegative val="0"/>
          <c:dPt>
            <c:idx val="1"/>
            <c:invertIfNegative val="0"/>
            <c:bubble3D val="0"/>
            <c:spPr>
              <a:solidFill>
                <a:srgbClr val="DFCFCF"/>
              </a:solidFill>
              <a:ln>
                <a:noFill/>
              </a:ln>
              <a:effectLst/>
            </c:spPr>
            <c:extLst>
              <c:ext xmlns:c16="http://schemas.microsoft.com/office/drawing/2014/chart" uri="{C3380CC4-5D6E-409C-BE32-E72D297353CC}">
                <c16:uniqueId val="{00000004-678E-439B-9CAE-D83014B75B3D}"/>
              </c:ext>
            </c:extLst>
          </c:dPt>
          <c:dPt>
            <c:idx val="2"/>
            <c:invertIfNegative val="0"/>
            <c:bubble3D val="0"/>
            <c:spPr>
              <a:solidFill>
                <a:schemeClr val="bg2">
                  <a:lumMod val="90000"/>
                </a:schemeClr>
              </a:solidFill>
              <a:ln>
                <a:noFill/>
              </a:ln>
              <a:effectLst/>
            </c:spPr>
            <c:extLst>
              <c:ext xmlns:c16="http://schemas.microsoft.com/office/drawing/2014/chart" uri="{C3380CC4-5D6E-409C-BE32-E72D297353CC}">
                <c16:uniqueId val="{00000006-678E-439B-9CAE-D83014B75B3D}"/>
              </c:ext>
            </c:extLst>
          </c:dPt>
          <c:val>
            <c:numRef>
              <c:f>FX!$O$6:$O$8</c:f>
              <c:numCache>
                <c:formatCode>0.00</c:formatCode>
                <c:ptCount val="3"/>
                <c:pt idx="0">
                  <c:v>0</c:v>
                </c:pt>
                <c:pt idx="1">
                  <c:v>0.25</c:v>
                </c:pt>
                <c:pt idx="2">
                  <c:v>0.25</c:v>
                </c:pt>
              </c:numCache>
            </c:numRef>
          </c:val>
          <c:extLst>
            <c:ext xmlns:c16="http://schemas.microsoft.com/office/drawing/2014/chart" uri="{C3380CC4-5D6E-409C-BE32-E72D297353CC}">
              <c16:uniqueId val="{00000007-678E-439B-9CAE-D83014B75B3D}"/>
            </c:ext>
          </c:extLst>
        </c:ser>
        <c:ser>
          <c:idx val="2"/>
          <c:order val="2"/>
          <c:tx>
            <c:strRef>
              <c:f>FX!$P$5</c:f>
              <c:strCache>
                <c:ptCount val="1"/>
                <c:pt idx="0">
                  <c:v>Gold</c:v>
                </c:pt>
              </c:strCache>
            </c:strRef>
          </c:tx>
          <c:spPr>
            <a:solidFill>
              <a:schemeClr val="accent3"/>
            </a:solidFill>
            <a:ln>
              <a:noFill/>
            </a:ln>
            <a:effectLst/>
          </c:spPr>
          <c:invertIfNegative val="0"/>
          <c:dPt>
            <c:idx val="1"/>
            <c:invertIfNegative val="0"/>
            <c:bubble3D val="0"/>
            <c:spPr>
              <a:solidFill>
                <a:schemeClr val="bg2">
                  <a:lumMod val="50000"/>
                  <a:alpha val="34000"/>
                </a:schemeClr>
              </a:solidFill>
              <a:ln>
                <a:noFill/>
              </a:ln>
              <a:effectLst/>
            </c:spPr>
            <c:extLst>
              <c:ext xmlns:c16="http://schemas.microsoft.com/office/drawing/2014/chart" uri="{C3380CC4-5D6E-409C-BE32-E72D297353CC}">
                <c16:uniqueId val="{00000009-678E-439B-9CAE-D83014B75B3D}"/>
              </c:ext>
            </c:extLst>
          </c:dPt>
          <c:dPt>
            <c:idx val="2"/>
            <c:invertIfNegative val="0"/>
            <c:bubble3D val="0"/>
            <c:spPr>
              <a:solidFill>
                <a:srgbClr val="FFC000">
                  <a:alpha val="34000"/>
                </a:srgbClr>
              </a:solidFill>
              <a:ln>
                <a:noFill/>
              </a:ln>
              <a:effectLst/>
            </c:spPr>
            <c:extLst>
              <c:ext xmlns:c16="http://schemas.microsoft.com/office/drawing/2014/chart" uri="{C3380CC4-5D6E-409C-BE32-E72D297353CC}">
                <c16:uniqueId val="{0000000B-678E-439B-9CAE-D83014B75B3D}"/>
              </c:ext>
            </c:extLst>
          </c:dPt>
          <c:val>
            <c:numRef>
              <c:f>FX!$P$6:$P$8</c:f>
              <c:numCache>
                <c:formatCode>0.00</c:formatCode>
                <c:ptCount val="3"/>
                <c:pt idx="0">
                  <c:v>0</c:v>
                </c:pt>
                <c:pt idx="1">
                  <c:v>0.25</c:v>
                </c:pt>
                <c:pt idx="2">
                  <c:v>0.25</c:v>
                </c:pt>
              </c:numCache>
            </c:numRef>
          </c:val>
          <c:extLst>
            <c:ext xmlns:c16="http://schemas.microsoft.com/office/drawing/2014/chart" uri="{C3380CC4-5D6E-409C-BE32-E72D297353CC}">
              <c16:uniqueId val="{0000000C-678E-439B-9CAE-D83014B75B3D}"/>
            </c:ext>
          </c:extLst>
        </c:ser>
        <c:dLbls>
          <c:showLegendKey val="0"/>
          <c:showVal val="0"/>
          <c:showCatName val="0"/>
          <c:showSerName val="0"/>
          <c:showPercent val="0"/>
          <c:showBubbleSize val="0"/>
        </c:dLbls>
        <c:gapWidth val="135"/>
        <c:overlap val="100"/>
        <c:axId val="2129843759"/>
        <c:axId val="2129842511"/>
      </c:barChart>
      <c:catAx>
        <c:axId val="2129843759"/>
        <c:scaling>
          <c:orientation val="maxMin"/>
        </c:scaling>
        <c:delete val="1"/>
        <c:axPos val="l"/>
        <c:numFmt formatCode="General" sourceLinked="1"/>
        <c:majorTickMark val="out"/>
        <c:minorTickMark val="none"/>
        <c:tickLblPos val="nextTo"/>
        <c:crossAx val="2129842511"/>
        <c:crosses val="autoZero"/>
        <c:auto val="1"/>
        <c:lblAlgn val="ctr"/>
        <c:lblOffset val="100"/>
        <c:noMultiLvlLbl val="0"/>
      </c:catAx>
      <c:valAx>
        <c:axId val="2129842511"/>
        <c:scaling>
          <c:orientation val="minMax"/>
        </c:scaling>
        <c:delete val="1"/>
        <c:axPos val="t"/>
        <c:numFmt formatCode="0%" sourceLinked="1"/>
        <c:majorTickMark val="out"/>
        <c:minorTickMark val="none"/>
        <c:tickLblPos val="nextTo"/>
        <c:crossAx val="2129843759"/>
        <c:crosses val="autoZero"/>
        <c:crossBetween val="between"/>
        <c:majorUnit val="0.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FX!$R$12:$R$14</c:f>
              <c:numCache>
                <c:formatCode>0%</c:formatCode>
                <c:ptCount val="3"/>
                <c:pt idx="0">
                  <c:v>1</c:v>
                </c:pt>
                <c:pt idx="1">
                  <c:v>1</c:v>
                </c:pt>
                <c:pt idx="2">
                  <c:v>1</c:v>
                </c:pt>
              </c:numCache>
            </c:numRef>
          </c:val>
          <c:extLst>
            <c:ext xmlns:c16="http://schemas.microsoft.com/office/drawing/2014/chart" uri="{C3380CC4-5D6E-409C-BE32-E72D297353CC}">
              <c16:uniqueId val="{00000000-0AC3-4DEF-A5F8-A9F83C62CE05}"/>
            </c:ext>
          </c:extLst>
        </c:ser>
        <c:ser>
          <c:idx val="1"/>
          <c:order val="1"/>
          <c:spPr>
            <a:solidFill>
              <a:schemeClr val="bg1">
                <a:lumMod val="95000"/>
              </a:schemeClr>
            </a:solidFill>
            <a:ln>
              <a:noFill/>
            </a:ln>
            <a:effectLst/>
          </c:spPr>
          <c:invertIfNegative val="0"/>
          <c:val>
            <c:numRef>
              <c:f>FX!$S$12:$S$14</c:f>
              <c:numCache>
                <c:formatCode>0%</c:formatCode>
                <c:ptCount val="3"/>
                <c:pt idx="0">
                  <c:v>0</c:v>
                </c:pt>
                <c:pt idx="1">
                  <c:v>0</c:v>
                </c:pt>
                <c:pt idx="2">
                  <c:v>0</c:v>
                </c:pt>
              </c:numCache>
            </c:numRef>
          </c:val>
          <c:extLst>
            <c:ext xmlns:c16="http://schemas.microsoft.com/office/drawing/2014/chart" uri="{C3380CC4-5D6E-409C-BE32-E72D297353CC}">
              <c16:uniqueId val="{00000001-0AC3-4DEF-A5F8-A9F83C62CE05}"/>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FX!$R$17:$R$19</c:f>
              <c:numCache>
                <c:formatCode>0%</c:formatCode>
                <c:ptCount val="3"/>
                <c:pt idx="0">
                  <c:v>1</c:v>
                </c:pt>
                <c:pt idx="1">
                  <c:v>1</c:v>
                </c:pt>
                <c:pt idx="2">
                  <c:v>1</c:v>
                </c:pt>
              </c:numCache>
            </c:numRef>
          </c:val>
          <c:extLst>
            <c:ext xmlns:c16="http://schemas.microsoft.com/office/drawing/2014/chart" uri="{C3380CC4-5D6E-409C-BE32-E72D297353CC}">
              <c16:uniqueId val="{00000000-63ED-48FC-8A24-A2CEC7D574CE}"/>
            </c:ext>
          </c:extLst>
        </c:ser>
        <c:ser>
          <c:idx val="1"/>
          <c:order val="1"/>
          <c:spPr>
            <a:solidFill>
              <a:schemeClr val="bg1">
                <a:lumMod val="95000"/>
              </a:schemeClr>
            </a:solidFill>
            <a:ln>
              <a:noFill/>
            </a:ln>
            <a:effectLst/>
          </c:spPr>
          <c:invertIfNegative val="0"/>
          <c:val>
            <c:numRef>
              <c:f>FX!$S$17:$S$19</c:f>
              <c:numCache>
                <c:formatCode>0%</c:formatCode>
                <c:ptCount val="3"/>
                <c:pt idx="0">
                  <c:v>0</c:v>
                </c:pt>
                <c:pt idx="1">
                  <c:v>0</c:v>
                </c:pt>
                <c:pt idx="2">
                  <c:v>0</c:v>
                </c:pt>
              </c:numCache>
            </c:numRef>
          </c:val>
          <c:extLst>
            <c:ext xmlns:c16="http://schemas.microsoft.com/office/drawing/2014/chart" uri="{C3380CC4-5D6E-409C-BE32-E72D297353CC}">
              <c16:uniqueId val="{00000001-63ED-48FC-8A24-A2CEC7D574CE}"/>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FX!$R$22:$R$24</c:f>
              <c:numCache>
                <c:formatCode>0%</c:formatCode>
                <c:ptCount val="3"/>
                <c:pt idx="0">
                  <c:v>0</c:v>
                </c:pt>
                <c:pt idx="1">
                  <c:v>1</c:v>
                </c:pt>
                <c:pt idx="2">
                  <c:v>1</c:v>
                </c:pt>
              </c:numCache>
            </c:numRef>
          </c:val>
          <c:extLst>
            <c:ext xmlns:c16="http://schemas.microsoft.com/office/drawing/2014/chart" uri="{C3380CC4-5D6E-409C-BE32-E72D297353CC}">
              <c16:uniqueId val="{00000000-8C3E-4A50-964D-EBA5E87F6BE7}"/>
            </c:ext>
          </c:extLst>
        </c:ser>
        <c:ser>
          <c:idx val="1"/>
          <c:order val="1"/>
          <c:spPr>
            <a:solidFill>
              <a:schemeClr val="bg1">
                <a:lumMod val="95000"/>
              </a:schemeClr>
            </a:solidFill>
            <a:ln>
              <a:noFill/>
            </a:ln>
            <a:effectLst/>
          </c:spPr>
          <c:invertIfNegative val="0"/>
          <c:val>
            <c:numRef>
              <c:f>FX!$S$22:$S$24</c:f>
              <c:numCache>
                <c:formatCode>0%</c:formatCode>
                <c:ptCount val="3"/>
                <c:pt idx="0">
                  <c:v>0</c:v>
                </c:pt>
                <c:pt idx="1">
                  <c:v>0</c:v>
                </c:pt>
                <c:pt idx="2">
                  <c:v>0</c:v>
                </c:pt>
              </c:numCache>
            </c:numRef>
          </c:val>
          <c:extLst>
            <c:ext xmlns:c16="http://schemas.microsoft.com/office/drawing/2014/chart" uri="{C3380CC4-5D6E-409C-BE32-E72D297353CC}">
              <c16:uniqueId val="{00000001-8C3E-4A50-964D-EBA5E87F6BE7}"/>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FX!$R$27:$R$29</c:f>
              <c:numCache>
                <c:formatCode>0%</c:formatCode>
                <c:ptCount val="3"/>
                <c:pt idx="0">
                  <c:v>0</c:v>
                </c:pt>
                <c:pt idx="1">
                  <c:v>1</c:v>
                </c:pt>
                <c:pt idx="2">
                  <c:v>1</c:v>
                </c:pt>
              </c:numCache>
            </c:numRef>
          </c:val>
          <c:extLst>
            <c:ext xmlns:c16="http://schemas.microsoft.com/office/drawing/2014/chart" uri="{C3380CC4-5D6E-409C-BE32-E72D297353CC}">
              <c16:uniqueId val="{00000000-0A01-4B39-9356-07F19106A67C}"/>
            </c:ext>
          </c:extLst>
        </c:ser>
        <c:ser>
          <c:idx val="1"/>
          <c:order val="1"/>
          <c:spPr>
            <a:solidFill>
              <a:schemeClr val="bg1">
                <a:lumMod val="95000"/>
              </a:schemeClr>
            </a:solidFill>
            <a:ln>
              <a:noFill/>
            </a:ln>
            <a:effectLst/>
          </c:spPr>
          <c:invertIfNegative val="0"/>
          <c:val>
            <c:numRef>
              <c:f>FX!$S$27:$S$29</c:f>
              <c:numCache>
                <c:formatCode>0%</c:formatCode>
                <c:ptCount val="3"/>
                <c:pt idx="0">
                  <c:v>0</c:v>
                </c:pt>
                <c:pt idx="1">
                  <c:v>0</c:v>
                </c:pt>
                <c:pt idx="2">
                  <c:v>0</c:v>
                </c:pt>
              </c:numCache>
            </c:numRef>
          </c:val>
          <c:extLst>
            <c:ext xmlns:c16="http://schemas.microsoft.com/office/drawing/2014/chart" uri="{C3380CC4-5D6E-409C-BE32-E72D297353CC}">
              <c16:uniqueId val="{00000001-0A01-4B39-9356-07F19106A67C}"/>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FX!$R$32:$R$34</c:f>
              <c:numCache>
                <c:formatCode>0%</c:formatCode>
                <c:ptCount val="3"/>
                <c:pt idx="0">
                  <c:v>1</c:v>
                </c:pt>
                <c:pt idx="1">
                  <c:v>1</c:v>
                </c:pt>
                <c:pt idx="2">
                  <c:v>0</c:v>
                </c:pt>
              </c:numCache>
            </c:numRef>
          </c:val>
          <c:extLst>
            <c:ext xmlns:c16="http://schemas.microsoft.com/office/drawing/2014/chart" uri="{C3380CC4-5D6E-409C-BE32-E72D297353CC}">
              <c16:uniqueId val="{00000000-BC2A-4955-9DB1-5B459D2A82EB}"/>
            </c:ext>
          </c:extLst>
        </c:ser>
        <c:ser>
          <c:idx val="1"/>
          <c:order val="1"/>
          <c:spPr>
            <a:solidFill>
              <a:schemeClr val="bg2"/>
            </a:solidFill>
            <a:ln>
              <a:noFill/>
            </a:ln>
            <a:effectLst/>
          </c:spPr>
          <c:invertIfNegative val="0"/>
          <c:val>
            <c:numRef>
              <c:f>FX!$S$32:$S$34</c:f>
              <c:numCache>
                <c:formatCode>0%</c:formatCode>
                <c:ptCount val="3"/>
                <c:pt idx="0">
                  <c:v>0</c:v>
                </c:pt>
                <c:pt idx="1">
                  <c:v>0</c:v>
                </c:pt>
                <c:pt idx="2">
                  <c:v>0</c:v>
                </c:pt>
              </c:numCache>
            </c:numRef>
          </c:val>
          <c:extLst>
            <c:ext xmlns:c16="http://schemas.microsoft.com/office/drawing/2014/chart" uri="{C3380CC4-5D6E-409C-BE32-E72D297353CC}">
              <c16:uniqueId val="{00000001-BC2A-4955-9DB1-5B459D2A82EB}"/>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FX!$Q$47:$Q$49</c:f>
              <c:numCache>
                <c:formatCode>0%</c:formatCode>
                <c:ptCount val="3"/>
                <c:pt idx="0">
                  <c:v>1</c:v>
                </c:pt>
                <c:pt idx="1">
                  <c:v>1</c:v>
                </c:pt>
                <c:pt idx="2">
                  <c:v>1</c:v>
                </c:pt>
              </c:numCache>
            </c:numRef>
          </c:val>
          <c:extLst>
            <c:ext xmlns:c16="http://schemas.microsoft.com/office/drawing/2014/chart" uri="{C3380CC4-5D6E-409C-BE32-E72D297353CC}">
              <c16:uniqueId val="{00000000-5355-4D2F-A4F5-25DD5CED7EB1}"/>
            </c:ext>
          </c:extLst>
        </c:ser>
        <c:ser>
          <c:idx val="1"/>
          <c:order val="1"/>
          <c:spPr>
            <a:solidFill>
              <a:schemeClr val="bg2"/>
            </a:solidFill>
            <a:ln>
              <a:noFill/>
            </a:ln>
            <a:effectLst/>
          </c:spPr>
          <c:invertIfNegative val="0"/>
          <c:val>
            <c:numRef>
              <c:f>FX!$S$47:$S$49</c:f>
              <c:numCache>
                <c:formatCode>0%</c:formatCode>
                <c:ptCount val="3"/>
                <c:pt idx="0">
                  <c:v>0</c:v>
                </c:pt>
                <c:pt idx="1">
                  <c:v>0</c:v>
                </c:pt>
                <c:pt idx="2">
                  <c:v>0</c:v>
                </c:pt>
              </c:numCache>
            </c:numRef>
          </c:val>
          <c:extLst>
            <c:ext xmlns:c16="http://schemas.microsoft.com/office/drawing/2014/chart" uri="{C3380CC4-5D6E-409C-BE32-E72D297353CC}">
              <c16:uniqueId val="{00000001-5355-4D2F-A4F5-25DD5CED7EB1}"/>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FX!$R$37:$R$39</c:f>
              <c:numCache>
                <c:formatCode>0%</c:formatCode>
                <c:ptCount val="3"/>
                <c:pt idx="0">
                  <c:v>0</c:v>
                </c:pt>
                <c:pt idx="1">
                  <c:v>1</c:v>
                </c:pt>
                <c:pt idx="2">
                  <c:v>0</c:v>
                </c:pt>
              </c:numCache>
            </c:numRef>
          </c:val>
          <c:extLst>
            <c:ext xmlns:c16="http://schemas.microsoft.com/office/drawing/2014/chart" uri="{C3380CC4-5D6E-409C-BE32-E72D297353CC}">
              <c16:uniqueId val="{00000000-7059-4D85-AD03-3E43D45A55CA}"/>
            </c:ext>
          </c:extLst>
        </c:ser>
        <c:ser>
          <c:idx val="1"/>
          <c:order val="1"/>
          <c:spPr>
            <a:solidFill>
              <a:schemeClr val="bg2"/>
            </a:solidFill>
            <a:ln>
              <a:noFill/>
            </a:ln>
            <a:effectLst/>
          </c:spPr>
          <c:invertIfNegative val="0"/>
          <c:val>
            <c:numRef>
              <c:f>FX!$S$37:$S$39</c:f>
              <c:numCache>
                <c:formatCode>0%</c:formatCode>
                <c:ptCount val="3"/>
                <c:pt idx="0">
                  <c:v>0</c:v>
                </c:pt>
                <c:pt idx="1">
                  <c:v>0</c:v>
                </c:pt>
                <c:pt idx="2">
                  <c:v>0</c:v>
                </c:pt>
              </c:numCache>
            </c:numRef>
          </c:val>
          <c:extLst>
            <c:ext xmlns:c16="http://schemas.microsoft.com/office/drawing/2014/chart" uri="{C3380CC4-5D6E-409C-BE32-E72D297353CC}">
              <c16:uniqueId val="{00000001-7059-4D85-AD03-3E43D45A55CA}"/>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FX!$R$42:$R$44</c:f>
              <c:numCache>
                <c:formatCode>0%</c:formatCode>
                <c:ptCount val="3"/>
                <c:pt idx="0">
                  <c:v>0</c:v>
                </c:pt>
                <c:pt idx="1">
                  <c:v>1</c:v>
                </c:pt>
                <c:pt idx="2">
                  <c:v>0</c:v>
                </c:pt>
              </c:numCache>
            </c:numRef>
          </c:val>
          <c:extLst>
            <c:ext xmlns:c16="http://schemas.microsoft.com/office/drawing/2014/chart" uri="{C3380CC4-5D6E-409C-BE32-E72D297353CC}">
              <c16:uniqueId val="{00000001-00EF-4AB8-ADE1-8B7F84B66215}"/>
            </c:ext>
          </c:extLst>
        </c:ser>
        <c:ser>
          <c:idx val="1"/>
          <c:order val="1"/>
          <c:spPr>
            <a:solidFill>
              <a:schemeClr val="accent2"/>
            </a:solidFill>
            <a:ln>
              <a:noFill/>
            </a:ln>
            <a:effectLst/>
          </c:spPr>
          <c:invertIfNegative val="0"/>
          <c:val>
            <c:numRef>
              <c:f>FX!$S$42:$S$44</c:f>
              <c:numCache>
                <c:formatCode>0%</c:formatCode>
                <c:ptCount val="3"/>
                <c:pt idx="0">
                  <c:v>0</c:v>
                </c:pt>
                <c:pt idx="1">
                  <c:v>0</c:v>
                </c:pt>
                <c:pt idx="2">
                  <c:v>0</c:v>
                </c:pt>
              </c:numCache>
            </c:numRef>
          </c:val>
          <c:extLst>
            <c:ext xmlns:c16="http://schemas.microsoft.com/office/drawing/2014/chart" uri="{C3380CC4-5D6E-409C-BE32-E72D297353CC}">
              <c16:uniqueId val="{00000003-00EF-4AB8-ADE1-8B7F84B66215}"/>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FX!$R$52:$R$54</c:f>
              <c:numCache>
                <c:formatCode>0%</c:formatCode>
                <c:ptCount val="3"/>
                <c:pt idx="0">
                  <c:v>1</c:v>
                </c:pt>
                <c:pt idx="1">
                  <c:v>1</c:v>
                </c:pt>
                <c:pt idx="2">
                  <c:v>1</c:v>
                </c:pt>
              </c:numCache>
            </c:numRef>
          </c:val>
          <c:extLst>
            <c:ext xmlns:c16="http://schemas.microsoft.com/office/drawing/2014/chart" uri="{C3380CC4-5D6E-409C-BE32-E72D297353CC}">
              <c16:uniqueId val="{00000000-2115-48E4-93CB-36567DDF3D5A}"/>
            </c:ext>
          </c:extLst>
        </c:ser>
        <c:ser>
          <c:idx val="1"/>
          <c:order val="1"/>
          <c:spPr>
            <a:solidFill>
              <a:schemeClr val="bg2"/>
            </a:solidFill>
            <a:ln>
              <a:noFill/>
            </a:ln>
            <a:effectLst/>
          </c:spPr>
          <c:invertIfNegative val="0"/>
          <c:val>
            <c:numRef>
              <c:f>FX!$S$52:$S$54</c:f>
              <c:numCache>
                <c:formatCode>0%</c:formatCode>
                <c:ptCount val="3"/>
                <c:pt idx="0">
                  <c:v>0</c:v>
                </c:pt>
                <c:pt idx="1">
                  <c:v>0</c:v>
                </c:pt>
                <c:pt idx="2">
                  <c:v>0</c:v>
                </c:pt>
              </c:numCache>
            </c:numRef>
          </c:val>
          <c:extLst>
            <c:ext xmlns:c16="http://schemas.microsoft.com/office/drawing/2014/chart" uri="{C3380CC4-5D6E-409C-BE32-E72D297353CC}">
              <c16:uniqueId val="{00000001-2115-48E4-93CB-36567DDF3D5A}"/>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FX!$R$67:$R$69</c:f>
              <c:numCache>
                <c:formatCode>0%</c:formatCode>
                <c:ptCount val="3"/>
                <c:pt idx="0">
                  <c:v>0</c:v>
                </c:pt>
                <c:pt idx="1">
                  <c:v>0</c:v>
                </c:pt>
                <c:pt idx="2">
                  <c:v>0</c:v>
                </c:pt>
              </c:numCache>
            </c:numRef>
          </c:val>
          <c:extLst>
            <c:ext xmlns:c16="http://schemas.microsoft.com/office/drawing/2014/chart" uri="{C3380CC4-5D6E-409C-BE32-E72D297353CC}">
              <c16:uniqueId val="{00000000-55EF-4CC2-A38C-F2A09E9E3848}"/>
            </c:ext>
          </c:extLst>
        </c:ser>
        <c:ser>
          <c:idx val="1"/>
          <c:order val="1"/>
          <c:spPr>
            <a:solidFill>
              <a:schemeClr val="accent2"/>
            </a:solidFill>
            <a:ln>
              <a:noFill/>
            </a:ln>
            <a:effectLst/>
          </c:spPr>
          <c:invertIfNegative val="0"/>
          <c:val>
            <c:numRef>
              <c:f>FX!$S$67:$S$69</c:f>
              <c:numCache>
                <c:formatCode>0%</c:formatCode>
                <c:ptCount val="3"/>
                <c:pt idx="0">
                  <c:v>0</c:v>
                </c:pt>
                <c:pt idx="1">
                  <c:v>0</c:v>
                </c:pt>
                <c:pt idx="2">
                  <c:v>0</c:v>
                </c:pt>
              </c:numCache>
            </c:numRef>
          </c:val>
          <c:extLst>
            <c:ext xmlns:c16="http://schemas.microsoft.com/office/drawing/2014/chart" uri="{C3380CC4-5D6E-409C-BE32-E72D297353CC}">
              <c16:uniqueId val="{00000001-55EF-4CC2-A38C-F2A09E9E3848}"/>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FX!$R$57:$R$59</c:f>
              <c:numCache>
                <c:formatCode>0%</c:formatCode>
                <c:ptCount val="3"/>
                <c:pt idx="0">
                  <c:v>0</c:v>
                </c:pt>
                <c:pt idx="1">
                  <c:v>1</c:v>
                </c:pt>
                <c:pt idx="2">
                  <c:v>1</c:v>
                </c:pt>
              </c:numCache>
            </c:numRef>
          </c:val>
          <c:extLst>
            <c:ext xmlns:c16="http://schemas.microsoft.com/office/drawing/2014/chart" uri="{C3380CC4-5D6E-409C-BE32-E72D297353CC}">
              <c16:uniqueId val="{00000000-5D9D-4FD2-A272-EBD33C2EDEDF}"/>
            </c:ext>
          </c:extLst>
        </c:ser>
        <c:ser>
          <c:idx val="1"/>
          <c:order val="1"/>
          <c:spPr>
            <a:solidFill>
              <a:schemeClr val="accent2"/>
            </a:solidFill>
            <a:ln>
              <a:noFill/>
            </a:ln>
            <a:effectLst/>
          </c:spPr>
          <c:invertIfNegative val="0"/>
          <c:val>
            <c:numRef>
              <c:f>FX!$S$57:$S$59</c:f>
              <c:numCache>
                <c:formatCode>0%</c:formatCode>
                <c:ptCount val="3"/>
                <c:pt idx="0">
                  <c:v>0</c:v>
                </c:pt>
                <c:pt idx="1">
                  <c:v>0</c:v>
                </c:pt>
                <c:pt idx="2">
                  <c:v>0</c:v>
                </c:pt>
              </c:numCache>
            </c:numRef>
          </c:val>
          <c:extLst>
            <c:ext xmlns:c16="http://schemas.microsoft.com/office/drawing/2014/chart" uri="{C3380CC4-5D6E-409C-BE32-E72D297353CC}">
              <c16:uniqueId val="{00000001-5D9D-4FD2-A272-EBD33C2EDEDF}"/>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4061549101718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FX!$R$62:$R$64</c:f>
              <c:numCache>
                <c:formatCode>0%</c:formatCode>
                <c:ptCount val="3"/>
                <c:pt idx="0">
                  <c:v>1</c:v>
                </c:pt>
                <c:pt idx="1">
                  <c:v>1</c:v>
                </c:pt>
                <c:pt idx="2">
                  <c:v>1</c:v>
                </c:pt>
              </c:numCache>
            </c:numRef>
          </c:val>
          <c:extLst>
            <c:ext xmlns:c16="http://schemas.microsoft.com/office/drawing/2014/chart" uri="{C3380CC4-5D6E-409C-BE32-E72D297353CC}">
              <c16:uniqueId val="{00000000-0D61-4A08-A463-B1C0AE159066}"/>
            </c:ext>
          </c:extLst>
        </c:ser>
        <c:ser>
          <c:idx val="1"/>
          <c:order val="1"/>
          <c:spPr>
            <a:solidFill>
              <a:schemeClr val="bg2"/>
            </a:solidFill>
            <a:ln>
              <a:noFill/>
            </a:ln>
            <a:effectLst/>
          </c:spPr>
          <c:invertIfNegative val="0"/>
          <c:val>
            <c:numRef>
              <c:f>FX!$S$62:$S$64</c:f>
              <c:numCache>
                <c:formatCode>0%</c:formatCode>
                <c:ptCount val="3"/>
                <c:pt idx="0">
                  <c:v>0</c:v>
                </c:pt>
                <c:pt idx="1">
                  <c:v>0</c:v>
                </c:pt>
                <c:pt idx="2">
                  <c:v>0</c:v>
                </c:pt>
              </c:numCache>
            </c:numRef>
          </c:val>
          <c:extLst>
            <c:ext xmlns:c16="http://schemas.microsoft.com/office/drawing/2014/chart" uri="{C3380CC4-5D6E-409C-BE32-E72D297353CC}">
              <c16:uniqueId val="{00000001-0D61-4A08-A463-B1C0AE159066}"/>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9.5579485586108584E-2"/>
          <c:w val="0.89239611942816133"/>
          <c:h val="0.78807259684439757"/>
        </c:manualLayout>
      </c:layout>
      <c:barChart>
        <c:barDir val="bar"/>
        <c:grouping val="stacked"/>
        <c:varyColors val="0"/>
        <c:ser>
          <c:idx val="6"/>
          <c:order val="0"/>
          <c:invertIfNegative val="0"/>
          <c:dPt>
            <c:idx val="0"/>
            <c:invertIfNegative val="0"/>
            <c:bubble3D val="0"/>
            <c:spPr>
              <a:solidFill>
                <a:srgbClr val="C00000"/>
              </a:solidFill>
            </c:spPr>
            <c:extLst>
              <c:ext xmlns:c16="http://schemas.microsoft.com/office/drawing/2014/chart" uri="{C3380CC4-5D6E-409C-BE32-E72D297353CC}">
                <c16:uniqueId val="{00000001-81AF-4C17-93D5-7C16A8407FE9}"/>
              </c:ext>
            </c:extLst>
          </c:dPt>
          <c:dPt>
            <c:idx val="1"/>
            <c:invertIfNegative val="0"/>
            <c:bubble3D val="0"/>
            <c:spPr>
              <a:solidFill>
                <a:schemeClr val="tx1"/>
              </a:solidFill>
            </c:spPr>
            <c:extLst>
              <c:ext xmlns:c16="http://schemas.microsoft.com/office/drawing/2014/chart" uri="{C3380CC4-5D6E-409C-BE32-E72D297353CC}">
                <c16:uniqueId val="{00000003-81AF-4C17-93D5-7C16A8407FE9}"/>
              </c:ext>
            </c:extLst>
          </c:dPt>
          <c:dPt>
            <c:idx val="2"/>
            <c:invertIfNegative val="0"/>
            <c:bubble3D val="0"/>
            <c:spPr>
              <a:solidFill>
                <a:schemeClr val="accent4"/>
              </a:solidFill>
            </c:spPr>
            <c:extLst>
              <c:ext xmlns:c16="http://schemas.microsoft.com/office/drawing/2014/chart" uri="{C3380CC4-5D6E-409C-BE32-E72D297353CC}">
                <c16:uniqueId val="{00000005-81AF-4C17-93D5-7C16A8407FE9}"/>
              </c:ext>
            </c:extLst>
          </c:dPt>
          <c:val>
            <c:numRef>
              <c:f>FX!$M$6:$M$8</c:f>
              <c:numCache>
                <c:formatCode>0%</c:formatCode>
                <c:ptCount val="3"/>
                <c:pt idx="0">
                  <c:v>1</c:v>
                </c:pt>
                <c:pt idx="1">
                  <c:v>1</c:v>
                </c:pt>
                <c:pt idx="2">
                  <c:v>1</c:v>
                </c:pt>
              </c:numCache>
            </c:numRef>
          </c:val>
          <c:extLst>
            <c:ext xmlns:c16="http://schemas.microsoft.com/office/drawing/2014/chart" uri="{C3380CC4-5D6E-409C-BE32-E72D297353CC}">
              <c16:uniqueId val="{00000006-81AF-4C17-93D5-7C16A8407FE9}"/>
            </c:ext>
          </c:extLst>
        </c:ser>
        <c:ser>
          <c:idx val="7"/>
          <c:order val="1"/>
          <c:spPr>
            <a:noFill/>
          </c:spPr>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07-81AF-4C17-93D5-7C16A8407FE9}"/>
            </c:ext>
          </c:extLst>
        </c:ser>
        <c:ser>
          <c:idx val="9"/>
          <c:order val="2"/>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0F-81AF-4C17-93D5-7C16A8407FE9}"/>
            </c:ext>
          </c:extLst>
        </c:ser>
        <c:ser>
          <c:idx val="10"/>
          <c:order val="3"/>
          <c:invertIfNegative val="0"/>
          <c:val>
            <c:numRef>
              <c:f>FX!$G$6:$G$8</c:f>
              <c:numCache>
                <c:formatCode>0%</c:formatCode>
                <c:ptCount val="3"/>
                <c:pt idx="0">
                  <c:v>1</c:v>
                </c:pt>
                <c:pt idx="1">
                  <c:v>1</c:v>
                </c:pt>
                <c:pt idx="2">
                  <c:v>1</c:v>
                </c:pt>
              </c:numCache>
            </c:numRef>
          </c:val>
          <c:extLst>
            <c:ext xmlns:c16="http://schemas.microsoft.com/office/drawing/2014/chart" uri="{C3380CC4-5D6E-409C-BE32-E72D297353CC}">
              <c16:uniqueId val="{00000016-81AF-4C17-93D5-7C16A8407FE9}"/>
            </c:ext>
          </c:extLst>
        </c:ser>
        <c:ser>
          <c:idx val="11"/>
          <c:order val="4"/>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17-81AF-4C17-93D5-7C16A8407FE9}"/>
            </c:ext>
          </c:extLst>
        </c:ser>
        <c:ser>
          <c:idx val="0"/>
          <c:order val="5"/>
          <c:invertIfNegative val="0"/>
          <c:val>
            <c:numRef>
              <c:f>FX!$G$6:$G$8</c:f>
              <c:numCache>
                <c:formatCode>0%</c:formatCode>
                <c:ptCount val="3"/>
                <c:pt idx="0">
                  <c:v>1</c:v>
                </c:pt>
                <c:pt idx="1">
                  <c:v>1</c:v>
                </c:pt>
                <c:pt idx="2">
                  <c:v>1</c:v>
                </c:pt>
              </c:numCache>
            </c:numRef>
          </c:val>
          <c:extLst>
            <c:ext xmlns:c16="http://schemas.microsoft.com/office/drawing/2014/chart" uri="{C3380CC4-5D6E-409C-BE32-E72D297353CC}">
              <c16:uniqueId val="{0000001E-81AF-4C17-93D5-7C16A8407FE9}"/>
            </c:ext>
          </c:extLst>
        </c:ser>
        <c:ser>
          <c:idx val="1"/>
          <c:order val="6"/>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1F-81AF-4C17-93D5-7C16A8407FE9}"/>
            </c:ext>
          </c:extLst>
        </c:ser>
        <c:ser>
          <c:idx val="4"/>
          <c:order val="7"/>
          <c:invertIfNegative val="0"/>
          <c:val>
            <c:numRef>
              <c:f>FX!$G$6:$G$8</c:f>
              <c:numCache>
                <c:formatCode>0%</c:formatCode>
                <c:ptCount val="3"/>
                <c:pt idx="0">
                  <c:v>1</c:v>
                </c:pt>
                <c:pt idx="1">
                  <c:v>1</c:v>
                </c:pt>
                <c:pt idx="2">
                  <c:v>1</c:v>
                </c:pt>
              </c:numCache>
            </c:numRef>
          </c:val>
          <c:extLst>
            <c:ext xmlns:c16="http://schemas.microsoft.com/office/drawing/2014/chart" uri="{C3380CC4-5D6E-409C-BE32-E72D297353CC}">
              <c16:uniqueId val="{00000026-81AF-4C17-93D5-7C16A8407FE9}"/>
            </c:ext>
          </c:extLst>
        </c:ser>
        <c:ser>
          <c:idx val="5"/>
          <c:order val="8"/>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27-81AF-4C17-93D5-7C16A8407FE9}"/>
            </c:ext>
          </c:extLst>
        </c:ser>
        <c:ser>
          <c:idx val="2"/>
          <c:order val="9"/>
          <c:spPr>
            <a:effectLst>
              <a:outerShdw blurRad="50800" dist="38100" dir="2700000" algn="tl" rotWithShape="0">
                <a:prstClr val="black">
                  <a:alpha val="40000"/>
                </a:prstClr>
              </a:outerShdw>
            </a:effectLst>
          </c:spPr>
          <c:invertIfNegative val="0"/>
          <c:dPt>
            <c:idx val="0"/>
            <c:invertIfNegative val="0"/>
            <c:bubble3D val="0"/>
            <c:spPr>
              <a:solidFill>
                <a:srgbClr val="C0000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29-81AF-4C17-93D5-7C16A8407FE9}"/>
              </c:ext>
            </c:extLst>
          </c:dPt>
          <c:dPt>
            <c:idx val="1"/>
            <c:invertIfNegative val="0"/>
            <c:bubble3D val="0"/>
            <c:spPr>
              <a:solidFill>
                <a:schemeClr val="tx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2B-81AF-4C17-93D5-7C16A8407FE9}"/>
              </c:ext>
            </c:extLst>
          </c:dPt>
          <c:dPt>
            <c:idx val="2"/>
            <c:invertIfNegative val="0"/>
            <c:bubble3D val="0"/>
            <c:spPr>
              <a:solidFill>
                <a:schemeClr val="accent4"/>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2D-81AF-4C17-93D5-7C16A8407FE9}"/>
              </c:ext>
            </c:extLst>
          </c:dPt>
          <c:val>
            <c:numRef>
              <c:f>FX!$G$6:$G$8</c:f>
              <c:numCache>
                <c:formatCode>0%</c:formatCode>
                <c:ptCount val="3"/>
                <c:pt idx="0">
                  <c:v>1</c:v>
                </c:pt>
                <c:pt idx="1">
                  <c:v>1</c:v>
                </c:pt>
                <c:pt idx="2">
                  <c:v>1</c:v>
                </c:pt>
              </c:numCache>
            </c:numRef>
          </c:val>
          <c:extLst>
            <c:ext xmlns:c16="http://schemas.microsoft.com/office/drawing/2014/chart" uri="{C3380CC4-5D6E-409C-BE32-E72D297353CC}">
              <c16:uniqueId val="{0000002E-81AF-4C17-93D5-7C16A8407FE9}"/>
            </c:ext>
          </c:extLst>
        </c:ser>
        <c:ser>
          <c:idx val="3"/>
          <c:order val="10"/>
          <c:spPr>
            <a:noFill/>
          </c:spPr>
          <c:invertIfNegative val="0"/>
          <c:val>
            <c:numRef>
              <c:f>FX!$H$6:$H$8</c:f>
              <c:numCache>
                <c:formatCode>0%</c:formatCode>
                <c:ptCount val="3"/>
                <c:pt idx="0">
                  <c:v>0</c:v>
                </c:pt>
                <c:pt idx="1">
                  <c:v>0</c:v>
                </c:pt>
                <c:pt idx="2">
                  <c:v>0</c:v>
                </c:pt>
              </c:numCache>
            </c:numRef>
          </c:val>
          <c:extLst>
            <c:ext xmlns:c16="http://schemas.microsoft.com/office/drawing/2014/chart" uri="{C3380CC4-5D6E-409C-BE32-E72D297353CC}">
              <c16:uniqueId val="{0000002F-81AF-4C17-93D5-7C16A8407FE9}"/>
            </c:ext>
          </c:extLst>
        </c:ser>
        <c:dLbls>
          <c:showLegendKey val="0"/>
          <c:showVal val="0"/>
          <c:showCatName val="0"/>
          <c:showSerName val="0"/>
          <c:showPercent val="0"/>
          <c:showBubbleSize val="0"/>
        </c:dLbls>
        <c:gapWidth val="105"/>
        <c:overlap val="100"/>
        <c:axId val="2049689807"/>
        <c:axId val="2049691887"/>
      </c:barChart>
      <c:catAx>
        <c:axId val="2049689807"/>
        <c:scaling>
          <c:orientation val="maxMin"/>
        </c:scaling>
        <c:delete val="1"/>
        <c:axPos val="l"/>
        <c:numFmt formatCode="General" sourceLinked="1"/>
        <c:majorTickMark val="out"/>
        <c:minorTickMark val="none"/>
        <c:tickLblPos val="nextTo"/>
        <c:crossAx val="2049691887"/>
        <c:crosses val="autoZero"/>
        <c:auto val="1"/>
        <c:lblAlgn val="ctr"/>
        <c:lblOffset val="100"/>
        <c:noMultiLvlLbl val="0"/>
      </c:catAx>
      <c:valAx>
        <c:axId val="2049691887"/>
        <c:scaling>
          <c:orientation val="minMax"/>
          <c:max val="1"/>
          <c:min val="0"/>
        </c:scaling>
        <c:delete val="0"/>
        <c:axPos val="t"/>
        <c:majorGridlines/>
        <c:numFmt formatCode="0%" sourceLinked="1"/>
        <c:majorTickMark val="out"/>
        <c:minorTickMark val="none"/>
        <c:tickLblPos val="nextTo"/>
        <c:crossAx val="2049689807"/>
        <c:crosses val="autoZero"/>
        <c:crossBetween val="between"/>
        <c:minorUnit val="0.25"/>
      </c:valAx>
      <c:spPr>
        <a:noFill/>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FX!$R$37:$R$39</c:f>
              <c:numCache>
                <c:formatCode>0%</c:formatCode>
                <c:ptCount val="3"/>
                <c:pt idx="0">
                  <c:v>0</c:v>
                </c:pt>
                <c:pt idx="1">
                  <c:v>1</c:v>
                </c:pt>
                <c:pt idx="2">
                  <c:v>0</c:v>
                </c:pt>
              </c:numCache>
            </c:numRef>
          </c:val>
          <c:extLst>
            <c:ext xmlns:c16="http://schemas.microsoft.com/office/drawing/2014/chart" uri="{C3380CC4-5D6E-409C-BE32-E72D297353CC}">
              <c16:uniqueId val="{00000000-2D08-4301-90EA-4CE8C7088AF7}"/>
            </c:ext>
          </c:extLst>
        </c:ser>
        <c:ser>
          <c:idx val="1"/>
          <c:order val="1"/>
          <c:spPr>
            <a:solidFill>
              <a:schemeClr val="accent2"/>
            </a:solidFill>
            <a:ln>
              <a:noFill/>
            </a:ln>
            <a:effectLst/>
          </c:spPr>
          <c:invertIfNegative val="0"/>
          <c:val>
            <c:numRef>
              <c:f>FX!$S$37:$S$39</c:f>
              <c:numCache>
                <c:formatCode>0%</c:formatCode>
                <c:ptCount val="3"/>
                <c:pt idx="0">
                  <c:v>0</c:v>
                </c:pt>
                <c:pt idx="1">
                  <c:v>0</c:v>
                </c:pt>
                <c:pt idx="2">
                  <c:v>0</c:v>
                </c:pt>
              </c:numCache>
            </c:numRef>
          </c:val>
          <c:extLst>
            <c:ext xmlns:c16="http://schemas.microsoft.com/office/drawing/2014/chart" uri="{C3380CC4-5D6E-409C-BE32-E72D297353CC}">
              <c16:uniqueId val="{00000001-2D08-4301-90EA-4CE8C7088AF7}"/>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FX!$R$47:$R$49</c:f>
              <c:numCache>
                <c:formatCode>0%</c:formatCode>
                <c:ptCount val="3"/>
                <c:pt idx="0">
                  <c:v>1</c:v>
                </c:pt>
                <c:pt idx="1">
                  <c:v>1</c:v>
                </c:pt>
                <c:pt idx="2">
                  <c:v>1</c:v>
                </c:pt>
              </c:numCache>
            </c:numRef>
          </c:val>
          <c:extLst>
            <c:ext xmlns:c16="http://schemas.microsoft.com/office/drawing/2014/chart" uri="{C3380CC4-5D6E-409C-BE32-E72D297353CC}">
              <c16:uniqueId val="{00000000-9F8E-4A70-A437-0F19B2042EC7}"/>
            </c:ext>
          </c:extLst>
        </c:ser>
        <c:ser>
          <c:idx val="1"/>
          <c:order val="1"/>
          <c:spPr>
            <a:solidFill>
              <a:schemeClr val="accent2"/>
            </a:solidFill>
            <a:ln>
              <a:noFill/>
            </a:ln>
            <a:effectLst/>
          </c:spPr>
          <c:invertIfNegative val="0"/>
          <c:val>
            <c:numRef>
              <c:f>FX!$S$47:$S$49</c:f>
              <c:numCache>
                <c:formatCode>0%</c:formatCode>
                <c:ptCount val="3"/>
                <c:pt idx="0">
                  <c:v>0</c:v>
                </c:pt>
                <c:pt idx="1">
                  <c:v>0</c:v>
                </c:pt>
                <c:pt idx="2">
                  <c:v>0</c:v>
                </c:pt>
              </c:numCache>
            </c:numRef>
          </c:val>
          <c:extLst>
            <c:ext xmlns:c16="http://schemas.microsoft.com/office/drawing/2014/chart" uri="{C3380CC4-5D6E-409C-BE32-E72D297353CC}">
              <c16:uniqueId val="{00000001-9F8E-4A70-A437-0F19B2042EC7}"/>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FX!$R$62:$R$64</c:f>
              <c:numCache>
                <c:formatCode>0%</c:formatCode>
                <c:ptCount val="3"/>
                <c:pt idx="0">
                  <c:v>1</c:v>
                </c:pt>
                <c:pt idx="1">
                  <c:v>1</c:v>
                </c:pt>
                <c:pt idx="2">
                  <c:v>1</c:v>
                </c:pt>
              </c:numCache>
            </c:numRef>
          </c:val>
          <c:extLst>
            <c:ext xmlns:c16="http://schemas.microsoft.com/office/drawing/2014/chart" uri="{C3380CC4-5D6E-409C-BE32-E72D297353CC}">
              <c16:uniqueId val="{00000000-93D8-46A8-B70F-88B9F55FEAED}"/>
            </c:ext>
          </c:extLst>
        </c:ser>
        <c:ser>
          <c:idx val="1"/>
          <c:order val="1"/>
          <c:spPr>
            <a:solidFill>
              <a:schemeClr val="accent2"/>
            </a:solidFill>
            <a:ln>
              <a:noFill/>
            </a:ln>
            <a:effectLst/>
          </c:spPr>
          <c:invertIfNegative val="0"/>
          <c:val>
            <c:numRef>
              <c:f>FX!$S$62:$S$64</c:f>
              <c:numCache>
                <c:formatCode>0%</c:formatCode>
                <c:ptCount val="3"/>
                <c:pt idx="0">
                  <c:v>0</c:v>
                </c:pt>
                <c:pt idx="1">
                  <c:v>0</c:v>
                </c:pt>
                <c:pt idx="2">
                  <c:v>0</c:v>
                </c:pt>
              </c:numCache>
            </c:numRef>
          </c:val>
          <c:extLst>
            <c:ext xmlns:c16="http://schemas.microsoft.com/office/drawing/2014/chart" uri="{C3380CC4-5D6E-409C-BE32-E72D297353CC}">
              <c16:uniqueId val="{00000001-93D8-46A8-B70F-88B9F55FEAED}"/>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FX!$R$52:$R$54</c:f>
              <c:numCache>
                <c:formatCode>0%</c:formatCode>
                <c:ptCount val="3"/>
                <c:pt idx="0">
                  <c:v>1</c:v>
                </c:pt>
                <c:pt idx="1">
                  <c:v>1</c:v>
                </c:pt>
                <c:pt idx="2">
                  <c:v>1</c:v>
                </c:pt>
              </c:numCache>
            </c:numRef>
          </c:val>
          <c:extLst>
            <c:ext xmlns:c16="http://schemas.microsoft.com/office/drawing/2014/chart" uri="{C3380CC4-5D6E-409C-BE32-E72D297353CC}">
              <c16:uniqueId val="{00000000-1CD0-444E-9F20-A822936176DA}"/>
            </c:ext>
          </c:extLst>
        </c:ser>
        <c:ser>
          <c:idx val="1"/>
          <c:order val="1"/>
          <c:spPr>
            <a:solidFill>
              <a:schemeClr val="bg2"/>
            </a:solidFill>
            <a:ln>
              <a:noFill/>
            </a:ln>
            <a:effectLst/>
          </c:spPr>
          <c:invertIfNegative val="0"/>
          <c:val>
            <c:numRef>
              <c:f>FX!$S$52:$S$54</c:f>
              <c:numCache>
                <c:formatCode>0%</c:formatCode>
                <c:ptCount val="3"/>
                <c:pt idx="0">
                  <c:v>0</c:v>
                </c:pt>
                <c:pt idx="1">
                  <c:v>0</c:v>
                </c:pt>
                <c:pt idx="2">
                  <c:v>0</c:v>
                </c:pt>
              </c:numCache>
            </c:numRef>
          </c:val>
          <c:extLst>
            <c:ext xmlns:c16="http://schemas.microsoft.com/office/drawing/2014/chart" uri="{C3380CC4-5D6E-409C-BE32-E72D297353CC}">
              <c16:uniqueId val="{00000001-1CD0-444E-9F20-A822936176DA}"/>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FX!$R$57:$R$59</c:f>
              <c:numCache>
                <c:formatCode>0%</c:formatCode>
                <c:ptCount val="3"/>
                <c:pt idx="0">
                  <c:v>0</c:v>
                </c:pt>
                <c:pt idx="1">
                  <c:v>1</c:v>
                </c:pt>
                <c:pt idx="2">
                  <c:v>1</c:v>
                </c:pt>
              </c:numCache>
            </c:numRef>
          </c:val>
          <c:extLst>
            <c:ext xmlns:c16="http://schemas.microsoft.com/office/drawing/2014/chart" uri="{C3380CC4-5D6E-409C-BE32-E72D297353CC}">
              <c16:uniqueId val="{00000000-042E-460F-9E5E-AB7D373D4441}"/>
            </c:ext>
          </c:extLst>
        </c:ser>
        <c:ser>
          <c:idx val="1"/>
          <c:order val="1"/>
          <c:spPr>
            <a:solidFill>
              <a:schemeClr val="accent2"/>
            </a:solidFill>
            <a:ln>
              <a:noFill/>
            </a:ln>
            <a:effectLst/>
          </c:spPr>
          <c:invertIfNegative val="0"/>
          <c:val>
            <c:numRef>
              <c:f>FX!$S$57:$S$59</c:f>
              <c:numCache>
                <c:formatCode>0%</c:formatCode>
                <c:ptCount val="3"/>
                <c:pt idx="0">
                  <c:v>0</c:v>
                </c:pt>
                <c:pt idx="1">
                  <c:v>0</c:v>
                </c:pt>
                <c:pt idx="2">
                  <c:v>0</c:v>
                </c:pt>
              </c:numCache>
            </c:numRef>
          </c:val>
          <c:extLst>
            <c:ext xmlns:c16="http://schemas.microsoft.com/office/drawing/2014/chart" uri="{C3380CC4-5D6E-409C-BE32-E72D297353CC}">
              <c16:uniqueId val="{00000001-042E-460F-9E5E-AB7D373D4441}"/>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3386533510081E-2"/>
          <c:y val="0"/>
          <c:w val="0.83273237119524512"/>
          <c:h val="0.99236555662770431"/>
        </c:manualLayout>
      </c:layout>
      <c:barChart>
        <c:barDir val="bar"/>
        <c:grouping val="percentStacked"/>
        <c:varyColors val="0"/>
        <c:ser>
          <c:idx val="0"/>
          <c:order val="0"/>
          <c:spPr>
            <a:solidFill>
              <a:schemeClr val="accent1"/>
            </a:solidFill>
            <a:ln>
              <a:noFill/>
            </a:ln>
            <a:effectLst/>
          </c:spPr>
          <c:invertIfNegative val="0"/>
          <c:val>
            <c:numRef>
              <c:f>FX!$R$67:$R$69</c:f>
              <c:numCache>
                <c:formatCode>0%</c:formatCode>
                <c:ptCount val="3"/>
                <c:pt idx="0">
                  <c:v>0</c:v>
                </c:pt>
                <c:pt idx="1">
                  <c:v>0</c:v>
                </c:pt>
                <c:pt idx="2">
                  <c:v>0</c:v>
                </c:pt>
              </c:numCache>
            </c:numRef>
          </c:val>
          <c:extLst>
            <c:ext xmlns:c16="http://schemas.microsoft.com/office/drawing/2014/chart" uri="{C3380CC4-5D6E-409C-BE32-E72D297353CC}">
              <c16:uniqueId val="{00000000-2195-46B3-A176-CE0A80AFACB1}"/>
            </c:ext>
          </c:extLst>
        </c:ser>
        <c:ser>
          <c:idx val="1"/>
          <c:order val="1"/>
          <c:spPr>
            <a:solidFill>
              <a:schemeClr val="accent2"/>
            </a:solidFill>
            <a:ln>
              <a:noFill/>
            </a:ln>
            <a:effectLst/>
          </c:spPr>
          <c:invertIfNegative val="0"/>
          <c:val>
            <c:numRef>
              <c:f>FX!$S$67:$S$69</c:f>
              <c:numCache>
                <c:formatCode>0%</c:formatCode>
                <c:ptCount val="3"/>
                <c:pt idx="0">
                  <c:v>0</c:v>
                </c:pt>
                <c:pt idx="1">
                  <c:v>0</c:v>
                </c:pt>
                <c:pt idx="2">
                  <c:v>0</c:v>
                </c:pt>
              </c:numCache>
            </c:numRef>
          </c:val>
          <c:extLst>
            <c:ext xmlns:c16="http://schemas.microsoft.com/office/drawing/2014/chart" uri="{C3380CC4-5D6E-409C-BE32-E72D297353CC}">
              <c16:uniqueId val="{00000001-2195-46B3-A176-CE0A80AFACB1}"/>
            </c:ext>
          </c:extLst>
        </c:ser>
        <c:dLbls>
          <c:showLegendKey val="0"/>
          <c:showVal val="0"/>
          <c:showCatName val="0"/>
          <c:showSerName val="0"/>
          <c:showPercent val="0"/>
          <c:showBubbleSize val="0"/>
        </c:dLbls>
        <c:gapWidth val="90"/>
        <c:overlap val="100"/>
        <c:axId val="2055330383"/>
        <c:axId val="2055331215"/>
      </c:barChart>
      <c:catAx>
        <c:axId val="2055330383"/>
        <c:scaling>
          <c:orientation val="maxMin"/>
        </c:scaling>
        <c:delete val="1"/>
        <c:axPos val="l"/>
        <c:numFmt formatCode="General" sourceLinked="1"/>
        <c:majorTickMark val="none"/>
        <c:minorTickMark val="none"/>
        <c:tickLblPos val="nextTo"/>
        <c:crossAx val="2055331215"/>
        <c:crosses val="autoZero"/>
        <c:auto val="1"/>
        <c:lblAlgn val="ctr"/>
        <c:lblOffset val="100"/>
        <c:noMultiLvlLbl val="0"/>
      </c:catAx>
      <c:valAx>
        <c:axId val="2055331215"/>
        <c:scaling>
          <c:orientation val="minMax"/>
        </c:scaling>
        <c:delete val="1"/>
        <c:axPos val="t"/>
        <c:numFmt formatCode="0%" sourceLinked="1"/>
        <c:majorTickMark val="none"/>
        <c:minorTickMark val="none"/>
        <c:tickLblPos val="nextTo"/>
        <c:crossAx val="205533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References!$B$11" lockText="1"/>
</file>

<file path=xl/ctrlProps/ctrlProp2.xml><?xml version="1.0" encoding="utf-8"?>
<formControlPr xmlns="http://schemas.microsoft.com/office/spreadsheetml/2009/9/main" objectType="CheckBox" checked="Checked" fmlaLink="References!$B$12"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7.xml"/><Relationship Id="rId3" Type="http://schemas.openxmlformats.org/officeDocument/2006/relationships/chart" Target="../charts/chart3.xml"/><Relationship Id="rId21" Type="http://schemas.openxmlformats.org/officeDocument/2006/relationships/chart" Target="../charts/chart2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19" Type="http://schemas.openxmlformats.org/officeDocument/2006/relationships/chart" Target="../charts/chart18.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593425</xdr:colOff>
      <xdr:row>18</xdr:row>
      <xdr:rowOff>0</xdr:rowOff>
    </xdr:from>
    <xdr:to>
      <xdr:col>12</xdr:col>
      <xdr:colOff>340025</xdr:colOff>
      <xdr:row>69</xdr:row>
      <xdr:rowOff>95250</xdr:rowOff>
    </xdr:to>
    <xdr:sp macro="" textlink="">
      <xdr:nvSpPr>
        <xdr:cNvPr id="19" name="fsa" hidden="1">
          <a:extLst>
            <a:ext uri="{FF2B5EF4-FFF2-40B4-BE49-F238E27FC236}">
              <a16:creationId xmlns:a16="http://schemas.microsoft.com/office/drawing/2014/main" id="{6B6AB829-1185-42C1-A60B-89C88FE93125}"/>
            </a:ext>
          </a:extLst>
        </xdr:cNvPr>
        <xdr:cNvSpPr/>
      </xdr:nvSpPr>
      <xdr:spPr>
        <a:xfrm>
          <a:off x="650575" y="3194050"/>
          <a:ext cx="10440000" cy="7092950"/>
        </a:xfrm>
        <a:prstGeom prst="rect">
          <a:avLst/>
        </a:prstGeom>
        <a:no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Farm Sustainability Assessment (FSA) is used by farmers around the world to self-assess their social, environmental, and business performance against an agreed set of global best practice.</a:t>
          </a:r>
          <a:r>
            <a:rPr lang="en-IN" sz="1200" b="1" kern="1200" baseline="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 </a:t>
          </a:r>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FSA can help farmers identify the next step on their sustainability journey, and to demonstrate their sustainability performance in the marketplace.</a:t>
          </a:r>
        </a:p>
        <a:p>
          <a:pPr algn="l"/>
          <a:endPar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endParaRPr>
        </a:p>
        <a:p>
          <a:pPr algn="l"/>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Companies in the global agricultural value chain are increasingly relying on the FSA to promote and assure that sustainable farming practices are in place at farm level. The FSA allows companies to effectively communicate their sustainability aspirations along the supply chain, while leaving it up to the farmer on how to best deliver on them.</a:t>
          </a:r>
        </a:p>
        <a:p>
          <a:pPr algn="l"/>
          <a:endPar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FSA self-assessment questionnaire is the foundation for assessing farm sustainability performance. The results of the self-assessment can be independently verified to enable an FSA Bronze, Silver or Gold performance level claim. Assessments can be made of one or more crops produced by the farm or may assess full-farm operations covering all outputs. This can be done on a single farm or with a group of farms, whereby a sample of farms will be randomly selected to complete the self-assessment questionnaire on behalf of the group.</a:t>
          </a:r>
          <a:br>
            <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rPr>
          </a:br>
          <a:br>
            <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1" i="1">
              <a:solidFill>
                <a:sysClr val="windowText" lastClr="000000"/>
              </a:solidFill>
              <a:effectLst/>
              <a:latin typeface="+mn-lt"/>
              <a:ea typeface="+mn-ea"/>
              <a:cs typeface="+mn-cs"/>
            </a:rPr>
            <a:t>How to complete this self-assessment:</a:t>
          </a:r>
          <a:br>
            <a:rPr lang="en-IN" sz="1100" b="1" i="1">
              <a:solidFill>
                <a:sysClr val="windowText" lastClr="000000"/>
              </a:solidFill>
              <a:effectLst/>
              <a:latin typeface="+mn-lt"/>
              <a:ea typeface="+mn-ea"/>
              <a:cs typeface="+mn-cs"/>
            </a:rPr>
          </a:br>
          <a:br>
            <a:rPr lang="en-IN" sz="1100" b="1" i="1">
              <a:solidFill>
                <a:sysClr val="windowText" lastClr="000000"/>
              </a:solidFill>
              <a:effectLst/>
              <a:latin typeface="+mn-lt"/>
              <a:ea typeface="+mn-ea"/>
              <a:cs typeface="+mn-cs"/>
            </a:rPr>
          </a:br>
          <a:r>
            <a:rPr lang="en-IN" sz="1100" b="1" i="1">
              <a:solidFill>
                <a:sysClr val="windowText" lastClr="000000"/>
              </a:solidFill>
              <a:effectLst/>
              <a:latin typeface="+mn-lt"/>
              <a:ea typeface="+mn-ea"/>
              <a:cs typeface="+mn-cs"/>
            </a:rPr>
            <a:t>1. </a:t>
          </a:r>
          <a:r>
            <a:rPr lang="en-IN" sz="1100" b="0" i="1">
              <a:solidFill>
                <a:sysClr val="windowText" lastClr="000000"/>
              </a:solidFill>
              <a:effectLst/>
              <a:latin typeface="+mn-lt"/>
              <a:ea typeface="+mn-ea"/>
              <a:cs typeface="+mn-cs"/>
            </a:rPr>
            <a:t>Open the “General Questions” tab and complete the basic questions about your farm.</a:t>
          </a:r>
          <a:br>
            <a:rPr lang="en-IN" sz="1100" b="0" i="1">
              <a:solidFill>
                <a:sysClr val="windowText" lastClr="000000"/>
              </a:solidFill>
              <a:effectLst/>
              <a:latin typeface="+mn-lt"/>
              <a:ea typeface="+mn-ea"/>
              <a:cs typeface="+mn-cs"/>
            </a:rPr>
          </a:br>
          <a:br>
            <a:rPr lang="en-IN" sz="1100" b="0" i="1">
              <a:solidFill>
                <a:sysClr val="windowText" lastClr="000000"/>
              </a:solidFill>
              <a:effectLst/>
              <a:latin typeface="+mn-lt"/>
              <a:ea typeface="+mn-ea"/>
              <a:cs typeface="+mn-cs"/>
            </a:rPr>
          </a:br>
          <a:r>
            <a:rPr lang="en-IN" sz="1100" b="1" i="1">
              <a:solidFill>
                <a:sysClr val="windowText" lastClr="000000"/>
              </a:solidFill>
              <a:effectLst/>
              <a:latin typeface="+mn-lt"/>
              <a:ea typeface="+mn-ea"/>
              <a:cs typeface="+mn-cs"/>
            </a:rPr>
            <a:t>2.</a:t>
          </a:r>
          <a:r>
            <a:rPr lang="en-IN" sz="1100" b="0" i="1">
              <a:solidFill>
                <a:sysClr val="windowText" lastClr="000000"/>
              </a:solidFill>
              <a:effectLst/>
              <a:latin typeface="+mn-lt"/>
              <a:ea typeface="+mn-ea"/>
              <a:cs typeface="+mn-cs"/>
            </a:rPr>
            <a:t> Open the “Self-Assessment Questionnaire” tab and answer the questions in column G</a:t>
          </a:r>
          <a:br>
            <a:rPr lang="en-IN" sz="1100" b="0" i="1">
              <a:solidFill>
                <a:sysClr val="windowText" lastClr="000000"/>
              </a:solidFill>
              <a:effectLst/>
              <a:latin typeface="+mn-lt"/>
              <a:ea typeface="+mn-ea"/>
              <a:cs typeface="+mn-cs"/>
            </a:rPr>
          </a:br>
          <a:br>
            <a:rPr lang="en-IN" sz="1100" b="0" i="1">
              <a:solidFill>
                <a:sysClr val="windowText" lastClr="000000"/>
              </a:solidFill>
              <a:effectLst/>
              <a:latin typeface="+mn-lt"/>
              <a:ea typeface="+mn-ea"/>
              <a:cs typeface="+mn-cs"/>
            </a:rPr>
          </a:br>
          <a:r>
            <a:rPr lang="en-IN" sz="1100" b="0" i="1">
              <a:solidFill>
                <a:sysClr val="windowText" lastClr="000000"/>
              </a:solidFill>
              <a:effectLst/>
              <a:latin typeface="+mn-lt"/>
              <a:ea typeface="+mn-ea"/>
              <a:cs typeface="+mn-cs"/>
            </a:rPr>
            <a:t>	FSA Questions can only be answered by YES, NO or NOT APPLICABLE.</a:t>
          </a:r>
          <a:br>
            <a:rPr lang="en-IN" sz="1100" b="0" i="1">
              <a:solidFill>
                <a:sysClr val="windowText" lastClr="000000"/>
              </a:solidFill>
              <a:effectLst/>
              <a:latin typeface="+mn-lt"/>
              <a:ea typeface="+mn-ea"/>
              <a:cs typeface="+mn-cs"/>
            </a:rPr>
          </a:br>
          <a:br>
            <a:rPr lang="en-IN" sz="1100" b="0" i="1">
              <a:solidFill>
                <a:sysClr val="windowText" lastClr="000000"/>
              </a:solidFill>
              <a:effectLst/>
              <a:latin typeface="+mn-lt"/>
              <a:ea typeface="+mn-ea"/>
              <a:cs typeface="+mn-cs"/>
            </a:rPr>
          </a:br>
          <a:r>
            <a:rPr lang="en-IN" sz="1100" b="0" i="1">
              <a:solidFill>
                <a:srgbClr val="FF0000"/>
              </a:solidFill>
              <a:effectLst/>
              <a:latin typeface="+mn-lt"/>
              <a:ea typeface="+mn-ea"/>
              <a:cs typeface="+mn-cs"/>
            </a:rPr>
            <a:t>	</a:t>
          </a:r>
          <a:r>
            <a:rPr lang="en-IN" sz="1100" b="0" i="1">
              <a:solidFill>
                <a:sysClr val="windowText" lastClr="000000"/>
              </a:solidFill>
              <a:effectLst/>
              <a:latin typeface="+mn-lt"/>
              <a:ea typeface="+mn-ea"/>
              <a:cs typeface="+mn-cs"/>
            </a:rPr>
            <a:t>The ‘Guidance &amp; Further Information’ section provides insight into the requirements for answering this question with YES or NOT APPLICABLE, as well as suggestions 	</a:t>
          </a:r>
          <a:br>
            <a:rPr lang="en-IN" sz="1100" b="0" i="1">
              <a:solidFill>
                <a:sysClr val="windowText" lastClr="000000"/>
              </a:solidFill>
              <a:effectLst/>
              <a:latin typeface="+mn-lt"/>
              <a:ea typeface="+mn-ea"/>
              <a:cs typeface="+mn-cs"/>
            </a:rPr>
          </a:br>
          <a:r>
            <a:rPr lang="en-IN" sz="1100" b="0" i="1">
              <a:solidFill>
                <a:sysClr val="windowText" lastClr="000000"/>
              </a:solidFill>
              <a:effectLst/>
              <a:latin typeface="+mn-lt"/>
              <a:ea typeface="+mn-ea"/>
              <a:cs typeface="+mn-cs"/>
            </a:rPr>
            <a:t>	for further reading.</a:t>
          </a:r>
          <a:br>
            <a:rPr lang="en-IN" sz="1100" b="0" i="1">
              <a:solidFill>
                <a:sysClr val="windowText" lastClr="000000"/>
              </a:solidFill>
              <a:effectLst/>
              <a:latin typeface="+mn-lt"/>
              <a:ea typeface="+mn-ea"/>
              <a:cs typeface="+mn-cs"/>
            </a:rPr>
          </a:br>
          <a:br>
            <a:rPr lang="en-IN" sz="1100" b="0" i="1" baseline="0">
              <a:solidFill>
                <a:sysClr val="windowText" lastClr="000000"/>
              </a:solidFill>
              <a:effectLst/>
              <a:latin typeface="+mn-lt"/>
              <a:ea typeface="+mn-ea"/>
              <a:cs typeface="+mn-cs"/>
            </a:rPr>
          </a:br>
          <a:r>
            <a:rPr lang="en-IN" sz="1100" b="0" i="1" baseline="0">
              <a:solidFill>
                <a:sysClr val="windowText" lastClr="000000"/>
              </a:solidFill>
              <a:effectLst/>
              <a:latin typeface="+mn-lt"/>
              <a:ea typeface="+mn-ea"/>
              <a:cs typeface="+mn-cs"/>
            </a:rPr>
            <a:t>	</a:t>
          </a:r>
          <a:r>
            <a:rPr lang="en-IN" sz="1100" b="0" i="1">
              <a:solidFill>
                <a:sysClr val="windowText" lastClr="000000"/>
              </a:solidFill>
              <a:effectLst/>
              <a:latin typeface="+mn-lt"/>
              <a:ea typeface="+mn-ea"/>
              <a:cs typeface="+mn-cs"/>
            </a:rPr>
            <a:t>The filters can help you to quickly find questions based on their status (essential, intermediate, advance), topic, or other identifiers.</a:t>
          </a:r>
          <a:br>
            <a:rPr lang="en-IN" sz="1100" b="0" i="1">
              <a:solidFill>
                <a:sysClr val="windowText" lastClr="000000"/>
              </a:solidFill>
              <a:effectLst/>
              <a:latin typeface="+mn-lt"/>
              <a:ea typeface="+mn-ea"/>
              <a:cs typeface="+mn-cs"/>
            </a:rPr>
          </a:br>
          <a:br>
            <a:rPr lang="en-IN" sz="1100" b="0" i="1">
              <a:solidFill>
                <a:sysClr val="windowText" lastClr="000000"/>
              </a:solidFill>
              <a:effectLst/>
              <a:latin typeface="+mn-lt"/>
              <a:ea typeface="+mn-ea"/>
              <a:cs typeface="+mn-cs"/>
            </a:rPr>
          </a:br>
          <a:r>
            <a:rPr lang="en-IN" sz="1100" b="1" i="1">
              <a:solidFill>
                <a:sysClr val="windowText" lastClr="000000"/>
              </a:solidFill>
              <a:effectLst/>
              <a:latin typeface="+mn-lt"/>
              <a:ea typeface="+mn-ea"/>
              <a:cs typeface="+mn-cs"/>
            </a:rPr>
            <a:t>3.</a:t>
          </a:r>
          <a:r>
            <a:rPr lang="en-IN" sz="1100" b="0" i="1">
              <a:solidFill>
                <a:sysClr val="windowText" lastClr="000000"/>
              </a:solidFill>
              <a:effectLst/>
              <a:latin typeface="+mn-lt"/>
              <a:ea typeface="+mn-ea"/>
              <a:cs typeface="+mn-cs"/>
            </a:rPr>
            <a:t> Once you have completed the Self-Assessment Questionnaire, you can review your performance using the “Performance” tab. It also identifies opportunities for you to increase your performance to the next level. </a:t>
          </a:r>
          <a:br>
            <a:rPr lang="en-IN" sz="1100" b="0" i="1">
              <a:solidFill>
                <a:sysClr val="windowText" lastClr="000000"/>
              </a:solidFill>
              <a:effectLst/>
              <a:latin typeface="+mn-lt"/>
              <a:ea typeface="+mn-ea"/>
              <a:cs typeface="+mn-cs"/>
            </a:rPr>
          </a:br>
          <a:br>
            <a:rPr lang="en-IN" sz="1100" b="0" i="1">
              <a:solidFill>
                <a:sysClr val="windowText" lastClr="000000"/>
              </a:solidFill>
              <a:effectLst/>
              <a:latin typeface="+mn-lt"/>
              <a:ea typeface="+mn-ea"/>
              <a:cs typeface="+mn-cs"/>
            </a:rPr>
          </a:br>
          <a:r>
            <a:rPr lang="en-IN" sz="1100" b="1" i="1">
              <a:solidFill>
                <a:sysClr val="windowText" lastClr="000000"/>
              </a:solidFill>
              <a:effectLst/>
              <a:latin typeface="+mn-lt"/>
              <a:ea typeface="+mn-ea"/>
              <a:cs typeface="+mn-cs"/>
            </a:rPr>
            <a:t>4.</a:t>
          </a:r>
          <a:r>
            <a:rPr lang="en-IN" sz="1100" b="0" i="1">
              <a:solidFill>
                <a:sysClr val="windowText" lastClr="000000"/>
              </a:solidFill>
              <a:effectLst/>
              <a:latin typeface="+mn-lt"/>
              <a:ea typeface="+mn-ea"/>
              <a:cs typeface="+mn-cs"/>
            </a:rPr>
            <a:t> Open the “FSA 3.0 Glossary” tab if you want to se the definition of any of the terms used in the Self-Assessment Questionnaire.</a:t>
          </a:r>
          <a:endParaRPr lang="en-IN" sz="1200">
            <a:solidFill>
              <a:sysClr val="windowText" lastClr="000000"/>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Contact your FMG Manager if you have any further questions about this Self-Assessment or download the FSA Topic Guides to get even more detailed guidance on how to improve your performance. </a:t>
          </a:r>
          <a:endParaRPr lang="en-IN" sz="1200" b="0">
            <a:solidFill>
              <a:srgbClr val="2D953E"/>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Visit ► https://saiplatform.org to learn more about SAI Platform and the FSA.</a:t>
          </a:r>
          <a:endParaRPr lang="en-IN" sz="1200" b="0">
            <a:solidFill>
              <a:srgbClr val="2D953E"/>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Thank you for your time and your commitment to sustainable farming and good luck completing the FSA + Regen Ag Self-Assessment Questionnaire.</a:t>
          </a:r>
          <a:endParaRPr lang="en-IN" sz="1200" b="0">
            <a:solidFill>
              <a:srgbClr val="2D953E"/>
            </a:solidFill>
            <a:effectLst/>
          </a:endParaRPr>
        </a:p>
        <a:p>
          <a:pPr algn="l"/>
          <a:endPar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endParaRPr>
        </a:p>
      </xdr:txBody>
    </xdr:sp>
    <xdr:clientData/>
  </xdr:twoCellAnchor>
  <xdr:twoCellAnchor>
    <xdr:from>
      <xdr:col>1</xdr:col>
      <xdr:colOff>593425</xdr:colOff>
      <xdr:row>13</xdr:row>
      <xdr:rowOff>53477</xdr:rowOff>
    </xdr:from>
    <xdr:to>
      <xdr:col>12</xdr:col>
      <xdr:colOff>340025</xdr:colOff>
      <xdr:row>17</xdr:row>
      <xdr:rowOff>36877</xdr:rowOff>
    </xdr:to>
    <xdr:grpSp>
      <xdr:nvGrpSpPr>
        <xdr:cNvPr id="20" name="fsa_header" hidden="1">
          <a:extLst>
            <a:ext uri="{FF2B5EF4-FFF2-40B4-BE49-F238E27FC236}">
              <a16:creationId xmlns:a16="http://schemas.microsoft.com/office/drawing/2014/main" id="{E4686D25-FA21-48E0-8E72-D79A825DFAEF}"/>
            </a:ext>
          </a:extLst>
        </xdr:cNvPr>
        <xdr:cNvGrpSpPr/>
      </xdr:nvGrpSpPr>
      <xdr:grpSpPr>
        <a:xfrm>
          <a:off x="355300" y="2298202"/>
          <a:ext cx="12881575" cy="710475"/>
          <a:chOff x="609600" y="429002"/>
          <a:chExt cx="10440000" cy="723600"/>
        </a:xfrm>
      </xdr:grpSpPr>
      <xdr:sp macro="" textlink="">
        <xdr:nvSpPr>
          <xdr:cNvPr id="21" name="Rectangle 20" hidden="1">
            <a:extLst>
              <a:ext uri="{FF2B5EF4-FFF2-40B4-BE49-F238E27FC236}">
                <a16:creationId xmlns:a16="http://schemas.microsoft.com/office/drawing/2014/main" id="{416952DC-880E-6F2D-4486-931D99E43E06}"/>
              </a:ext>
            </a:extLst>
          </xdr:cNvPr>
          <xdr:cNvSpPr/>
        </xdr:nvSpPr>
        <xdr:spPr>
          <a:xfrm>
            <a:off x="609600" y="429002"/>
            <a:ext cx="10440000" cy="723600"/>
          </a:xfrm>
          <a:prstGeom prst="rect">
            <a:avLst/>
          </a:prstGeom>
          <a:solidFill>
            <a:schemeClr val="bg1"/>
          </a:solid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kern="1200">
              <a:latin typeface="Open Sans Light" panose="020B0306030504020204" pitchFamily="34" charset="0"/>
              <a:ea typeface="Open Sans Light" panose="020B0306030504020204" pitchFamily="34" charset="0"/>
              <a:cs typeface="Open Sans Light" panose="020B0306030504020204" pitchFamily="34" charset="0"/>
            </a:endParaRPr>
          </a:p>
        </xdr:txBody>
      </xdr:sp>
      <xdr:sp macro="" textlink="">
        <xdr:nvSpPr>
          <xdr:cNvPr id="22" name="Rectangle 21" hidden="1">
            <a:extLst>
              <a:ext uri="{FF2B5EF4-FFF2-40B4-BE49-F238E27FC236}">
                <a16:creationId xmlns:a16="http://schemas.microsoft.com/office/drawing/2014/main" id="{F1DFE53A-BC97-211E-11BB-85C77C0A8BC7}"/>
              </a:ext>
            </a:extLst>
          </xdr:cNvPr>
          <xdr:cNvSpPr/>
        </xdr:nvSpPr>
        <xdr:spPr>
          <a:xfrm>
            <a:off x="723900" y="520802"/>
            <a:ext cx="8820000" cy="540000"/>
          </a:xfrm>
          <a:prstGeom prst="rect">
            <a:avLst/>
          </a:prstGeom>
          <a:solidFill>
            <a:srgbClr val="2D9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lt1"/>
                </a:solidFill>
                <a:effectLst/>
                <a:latin typeface="+mj-lt"/>
                <a:ea typeface="+mn-ea"/>
                <a:cs typeface="+mn-cs"/>
              </a:rPr>
              <a:t>Welcome to your individual Farm Sustainability Assessment</a:t>
            </a:r>
            <a:endParaRPr lang="en-IN" sz="1800">
              <a:effectLst/>
              <a:latin typeface="+mj-lt"/>
            </a:endParaRPr>
          </a:p>
        </xdr:txBody>
      </xdr:sp>
      <xdr:pic>
        <xdr:nvPicPr>
          <xdr:cNvPr id="23" name="Grafik 3" hidden="1">
            <a:extLst>
              <a:ext uri="{FF2B5EF4-FFF2-40B4-BE49-F238E27FC236}">
                <a16:creationId xmlns:a16="http://schemas.microsoft.com/office/drawing/2014/main" id="{026B0F59-40CF-F567-9C5E-D68B69FA65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7700" y="429757"/>
            <a:ext cx="1390329" cy="722090"/>
          </a:xfrm>
          <a:prstGeom prst="rect">
            <a:avLst/>
          </a:prstGeom>
        </xdr:spPr>
      </xdr:pic>
    </xdr:grpSp>
    <xdr:clientData/>
  </xdr:twoCellAnchor>
  <xdr:twoCellAnchor>
    <xdr:from>
      <xdr:col>1</xdr:col>
      <xdr:colOff>590550</xdr:colOff>
      <xdr:row>13</xdr:row>
      <xdr:rowOff>38100</xdr:rowOff>
    </xdr:from>
    <xdr:to>
      <xdr:col>12</xdr:col>
      <xdr:colOff>337150</xdr:colOff>
      <xdr:row>17</xdr:row>
      <xdr:rowOff>21500</xdr:rowOff>
    </xdr:to>
    <xdr:grpSp>
      <xdr:nvGrpSpPr>
        <xdr:cNvPr id="2" name="regen_header" hidden="1">
          <a:extLst>
            <a:ext uri="{FF2B5EF4-FFF2-40B4-BE49-F238E27FC236}">
              <a16:creationId xmlns:a16="http://schemas.microsoft.com/office/drawing/2014/main" id="{B169DDD7-6BAF-4608-947C-128172BEEC18}"/>
            </a:ext>
          </a:extLst>
        </xdr:cNvPr>
        <xdr:cNvGrpSpPr/>
      </xdr:nvGrpSpPr>
      <xdr:grpSpPr>
        <a:xfrm>
          <a:off x="352425" y="2286000"/>
          <a:ext cx="12878400" cy="707300"/>
          <a:chOff x="609600" y="429002"/>
          <a:chExt cx="10440000" cy="723600"/>
        </a:xfrm>
      </xdr:grpSpPr>
      <xdr:sp macro="" textlink="">
        <xdr:nvSpPr>
          <xdr:cNvPr id="6" name="Rectangle 5" hidden="1">
            <a:extLst>
              <a:ext uri="{FF2B5EF4-FFF2-40B4-BE49-F238E27FC236}">
                <a16:creationId xmlns:a16="http://schemas.microsoft.com/office/drawing/2014/main" id="{2088C116-3176-1BAA-6C82-8646B83346A8}"/>
              </a:ext>
            </a:extLst>
          </xdr:cNvPr>
          <xdr:cNvSpPr/>
        </xdr:nvSpPr>
        <xdr:spPr>
          <a:xfrm>
            <a:off x="609600" y="429002"/>
            <a:ext cx="10440000" cy="723600"/>
          </a:xfrm>
          <a:prstGeom prst="rect">
            <a:avLst/>
          </a:prstGeom>
          <a:solidFill>
            <a:schemeClr val="bg1"/>
          </a:solid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kern="1200">
              <a:latin typeface="Open Sans Light" panose="020B0306030504020204" pitchFamily="34" charset="0"/>
              <a:ea typeface="Open Sans Light" panose="020B0306030504020204" pitchFamily="34" charset="0"/>
              <a:cs typeface="Open Sans Light" panose="020B0306030504020204" pitchFamily="34" charset="0"/>
            </a:endParaRPr>
          </a:p>
        </xdr:txBody>
      </xdr:sp>
      <xdr:sp macro="" textlink="">
        <xdr:nvSpPr>
          <xdr:cNvPr id="24" name="Rectangle 23" hidden="1">
            <a:extLst>
              <a:ext uri="{FF2B5EF4-FFF2-40B4-BE49-F238E27FC236}">
                <a16:creationId xmlns:a16="http://schemas.microsoft.com/office/drawing/2014/main" id="{6554F37E-DB61-3A11-BE6E-FE741F093E5C}"/>
              </a:ext>
            </a:extLst>
          </xdr:cNvPr>
          <xdr:cNvSpPr/>
        </xdr:nvSpPr>
        <xdr:spPr>
          <a:xfrm>
            <a:off x="723900" y="520802"/>
            <a:ext cx="8820000" cy="540000"/>
          </a:xfrm>
          <a:prstGeom prst="rect">
            <a:avLst/>
          </a:prstGeom>
          <a:solidFill>
            <a:srgbClr val="2D9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a:solidFill>
                  <a:schemeClr val="lt1"/>
                </a:solidFill>
                <a:effectLst/>
                <a:latin typeface="Open Sans" panose="020B0606030504020204" pitchFamily="34" charset="0"/>
                <a:ea typeface="Open Sans" panose="020B0606030504020204" pitchFamily="34" charset="0"/>
                <a:cs typeface="Open Sans" panose="020B0606030504020204" pitchFamily="34" charset="0"/>
              </a:rPr>
              <a:t>Welcome to your individual Farm Sustainability Assessment </a:t>
            </a:r>
            <a:r>
              <a:rPr lang="en-IN" sz="1800" b="0">
                <a:solidFill>
                  <a:srgbClr val="F28705"/>
                </a:solidFill>
                <a:effectLst/>
                <a:latin typeface="Open Sans" panose="020B0606030504020204" pitchFamily="34" charset="0"/>
                <a:ea typeface="Open Sans" panose="020B0606030504020204" pitchFamily="34" charset="0"/>
                <a:cs typeface="Open Sans" panose="020B0606030504020204" pitchFamily="34" charset="0"/>
              </a:rPr>
              <a:t>+</a:t>
            </a:r>
            <a:r>
              <a:rPr lang="en-IN" sz="1800" b="0">
                <a:solidFill>
                  <a:schemeClr val="lt1"/>
                </a:solidFill>
                <a:effectLst/>
                <a:latin typeface="Open Sans" panose="020B0606030504020204" pitchFamily="34" charset="0"/>
                <a:ea typeface="Open Sans" panose="020B0606030504020204" pitchFamily="34" charset="0"/>
                <a:cs typeface="Open Sans" panose="020B0606030504020204" pitchFamily="34" charset="0"/>
              </a:rPr>
              <a:t> </a:t>
            </a:r>
            <a:r>
              <a:rPr lang="en-IN" sz="1800" b="0">
                <a:solidFill>
                  <a:srgbClr val="F28705"/>
                </a:solidFill>
                <a:effectLst/>
                <a:latin typeface="Open Sans" panose="020B0606030504020204" pitchFamily="34" charset="0"/>
                <a:ea typeface="Open Sans" panose="020B0606030504020204" pitchFamily="34" charset="0"/>
                <a:cs typeface="Open Sans" panose="020B0606030504020204" pitchFamily="34" charset="0"/>
              </a:rPr>
              <a:t>Regenerating Together Module</a:t>
            </a:r>
          </a:p>
        </xdr:txBody>
      </xdr:sp>
      <xdr:pic>
        <xdr:nvPicPr>
          <xdr:cNvPr id="25" name="Grafik 3" hidden="1">
            <a:extLst>
              <a:ext uri="{FF2B5EF4-FFF2-40B4-BE49-F238E27FC236}">
                <a16:creationId xmlns:a16="http://schemas.microsoft.com/office/drawing/2014/main" id="{EDEA7561-FF0B-335D-78FC-46782CCC93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7700" y="429757"/>
            <a:ext cx="1390329" cy="722090"/>
          </a:xfrm>
          <a:prstGeom prst="rect">
            <a:avLst/>
          </a:prstGeom>
        </xdr:spPr>
      </xdr:pic>
    </xdr:grpSp>
    <xdr:clientData/>
  </xdr:twoCellAnchor>
  <xdr:twoCellAnchor>
    <xdr:from>
      <xdr:col>1</xdr:col>
      <xdr:colOff>590550</xdr:colOff>
      <xdr:row>13</xdr:row>
      <xdr:rowOff>38100</xdr:rowOff>
    </xdr:from>
    <xdr:to>
      <xdr:col>12</xdr:col>
      <xdr:colOff>337150</xdr:colOff>
      <xdr:row>17</xdr:row>
      <xdr:rowOff>21500</xdr:rowOff>
    </xdr:to>
    <xdr:grpSp>
      <xdr:nvGrpSpPr>
        <xdr:cNvPr id="26" name="csddd_header" hidden="1">
          <a:extLst>
            <a:ext uri="{FF2B5EF4-FFF2-40B4-BE49-F238E27FC236}">
              <a16:creationId xmlns:a16="http://schemas.microsoft.com/office/drawing/2014/main" id="{5193A71E-67CD-4AAA-971F-DA6DC71764ED}"/>
            </a:ext>
          </a:extLst>
        </xdr:cNvPr>
        <xdr:cNvGrpSpPr/>
      </xdr:nvGrpSpPr>
      <xdr:grpSpPr>
        <a:xfrm>
          <a:off x="352425" y="2286000"/>
          <a:ext cx="12878400" cy="707300"/>
          <a:chOff x="609600" y="429002"/>
          <a:chExt cx="10440000" cy="723600"/>
        </a:xfrm>
      </xdr:grpSpPr>
      <xdr:sp macro="" textlink="">
        <xdr:nvSpPr>
          <xdr:cNvPr id="27" name="Rectangle 26" hidden="1">
            <a:extLst>
              <a:ext uri="{FF2B5EF4-FFF2-40B4-BE49-F238E27FC236}">
                <a16:creationId xmlns:a16="http://schemas.microsoft.com/office/drawing/2014/main" id="{EDFB66C4-E968-EBFC-5A32-A5D777ECB84C}"/>
              </a:ext>
            </a:extLst>
          </xdr:cNvPr>
          <xdr:cNvSpPr/>
        </xdr:nvSpPr>
        <xdr:spPr>
          <a:xfrm>
            <a:off x="609600" y="429002"/>
            <a:ext cx="10440000" cy="723600"/>
          </a:xfrm>
          <a:prstGeom prst="rect">
            <a:avLst/>
          </a:prstGeom>
          <a:solidFill>
            <a:schemeClr val="bg1"/>
          </a:solid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kern="1200">
              <a:latin typeface="Open Sans Light" panose="020B0306030504020204" pitchFamily="34" charset="0"/>
              <a:ea typeface="Open Sans Light" panose="020B0306030504020204" pitchFamily="34" charset="0"/>
              <a:cs typeface="Open Sans Light" panose="020B0306030504020204" pitchFamily="34" charset="0"/>
            </a:endParaRPr>
          </a:p>
        </xdr:txBody>
      </xdr:sp>
      <xdr:sp macro="" textlink="">
        <xdr:nvSpPr>
          <xdr:cNvPr id="29" name="Rectangle 28" hidden="1">
            <a:extLst>
              <a:ext uri="{FF2B5EF4-FFF2-40B4-BE49-F238E27FC236}">
                <a16:creationId xmlns:a16="http://schemas.microsoft.com/office/drawing/2014/main" id="{65BEE989-87BE-D3C7-C9EC-D4C0A345DEA0}"/>
              </a:ext>
            </a:extLst>
          </xdr:cNvPr>
          <xdr:cNvSpPr/>
        </xdr:nvSpPr>
        <xdr:spPr>
          <a:xfrm>
            <a:off x="723900" y="520802"/>
            <a:ext cx="8820000" cy="540000"/>
          </a:xfrm>
          <a:prstGeom prst="rect">
            <a:avLst/>
          </a:prstGeom>
          <a:solidFill>
            <a:srgbClr val="2D9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a:solidFill>
                  <a:schemeClr val="lt1"/>
                </a:solidFill>
                <a:effectLst/>
                <a:latin typeface="Open Sans" panose="020B0606030504020204" pitchFamily="34" charset="0"/>
                <a:ea typeface="Open Sans" panose="020B0606030504020204" pitchFamily="34" charset="0"/>
                <a:cs typeface="Open Sans" panose="020B0606030504020204" pitchFamily="34" charset="0"/>
              </a:rPr>
              <a:t>Welcome to your individual Farm Sustainability Assessment </a:t>
            </a:r>
            <a:r>
              <a:rPr lang="en-IN" sz="1800" b="0">
                <a:solidFill>
                  <a:srgbClr val="F28705"/>
                </a:solidFill>
                <a:effectLst/>
                <a:latin typeface="Open Sans" panose="020B0606030504020204" pitchFamily="34" charset="0"/>
                <a:ea typeface="Open Sans" panose="020B0606030504020204" pitchFamily="34" charset="0"/>
                <a:cs typeface="Open Sans" panose="020B0606030504020204" pitchFamily="34" charset="0"/>
              </a:rPr>
              <a:t>+ Due</a:t>
            </a:r>
            <a:r>
              <a:rPr lang="en-IN" sz="1800" b="0" baseline="0">
                <a:solidFill>
                  <a:srgbClr val="F28705"/>
                </a:solidFill>
                <a:effectLst/>
                <a:latin typeface="Open Sans" panose="020B0606030504020204" pitchFamily="34" charset="0"/>
                <a:ea typeface="Open Sans" panose="020B0606030504020204" pitchFamily="34" charset="0"/>
                <a:cs typeface="Open Sans" panose="020B0606030504020204" pitchFamily="34" charset="0"/>
              </a:rPr>
              <a:t> Dilligence</a:t>
            </a:r>
            <a:endParaRPr lang="en-IN" sz="1800" b="0">
              <a:solidFill>
                <a:srgbClr val="F28705"/>
              </a:solidFill>
              <a:effectLst/>
              <a:latin typeface="Open Sans" panose="020B0606030504020204" pitchFamily="34" charset="0"/>
              <a:ea typeface="Open Sans" panose="020B0606030504020204" pitchFamily="34" charset="0"/>
              <a:cs typeface="Open Sans" panose="020B0606030504020204" pitchFamily="34" charset="0"/>
            </a:endParaRPr>
          </a:p>
        </xdr:txBody>
      </xdr:sp>
      <xdr:pic>
        <xdr:nvPicPr>
          <xdr:cNvPr id="30" name="Grafik 3" hidden="1">
            <a:extLst>
              <a:ext uri="{FF2B5EF4-FFF2-40B4-BE49-F238E27FC236}">
                <a16:creationId xmlns:a16="http://schemas.microsoft.com/office/drawing/2014/main" id="{85A5B43B-A38B-4D2F-D1AF-F328560D1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7700" y="429757"/>
            <a:ext cx="1390329" cy="722090"/>
          </a:xfrm>
          <a:prstGeom prst="rect">
            <a:avLst/>
          </a:prstGeom>
        </xdr:spPr>
      </xdr:pic>
    </xdr:grpSp>
    <xdr:clientData/>
  </xdr:twoCellAnchor>
  <xdr:twoCellAnchor>
    <xdr:from>
      <xdr:col>1</xdr:col>
      <xdr:colOff>596900</xdr:colOff>
      <xdr:row>13</xdr:row>
      <xdr:rowOff>44450</xdr:rowOff>
    </xdr:from>
    <xdr:to>
      <xdr:col>12</xdr:col>
      <xdr:colOff>343500</xdr:colOff>
      <xdr:row>17</xdr:row>
      <xdr:rowOff>27850</xdr:rowOff>
    </xdr:to>
    <xdr:grpSp>
      <xdr:nvGrpSpPr>
        <xdr:cNvPr id="34" name="both_header">
          <a:extLst>
            <a:ext uri="{FF2B5EF4-FFF2-40B4-BE49-F238E27FC236}">
              <a16:creationId xmlns:a16="http://schemas.microsoft.com/office/drawing/2014/main" id="{46A2C15C-C20A-4765-AD43-036B877FF73D}"/>
            </a:ext>
          </a:extLst>
        </xdr:cNvPr>
        <xdr:cNvGrpSpPr/>
      </xdr:nvGrpSpPr>
      <xdr:grpSpPr>
        <a:xfrm>
          <a:off x="352425" y="2295525"/>
          <a:ext cx="12887925" cy="707300"/>
          <a:chOff x="609600" y="429002"/>
          <a:chExt cx="10440000" cy="723600"/>
        </a:xfrm>
      </xdr:grpSpPr>
      <xdr:sp macro="" textlink="">
        <xdr:nvSpPr>
          <xdr:cNvPr id="35" name="Rectangle 34">
            <a:extLst>
              <a:ext uri="{FF2B5EF4-FFF2-40B4-BE49-F238E27FC236}">
                <a16:creationId xmlns:a16="http://schemas.microsoft.com/office/drawing/2014/main" id="{BEC23E0B-A70A-364B-F7CC-B1994FC06B6E}"/>
              </a:ext>
            </a:extLst>
          </xdr:cNvPr>
          <xdr:cNvSpPr/>
        </xdr:nvSpPr>
        <xdr:spPr>
          <a:xfrm>
            <a:off x="609600" y="429002"/>
            <a:ext cx="10440000" cy="723600"/>
          </a:xfrm>
          <a:prstGeom prst="rect">
            <a:avLst/>
          </a:prstGeom>
          <a:solidFill>
            <a:schemeClr val="bg1"/>
          </a:solid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kern="1200">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36" name="Rectangle 35">
            <a:extLst>
              <a:ext uri="{FF2B5EF4-FFF2-40B4-BE49-F238E27FC236}">
                <a16:creationId xmlns:a16="http://schemas.microsoft.com/office/drawing/2014/main" id="{22428CEB-16D4-BDF9-9CF6-5D169170A853}"/>
              </a:ext>
            </a:extLst>
          </xdr:cNvPr>
          <xdr:cNvSpPr/>
        </xdr:nvSpPr>
        <xdr:spPr>
          <a:xfrm>
            <a:off x="723900" y="520802"/>
            <a:ext cx="8820000" cy="540000"/>
          </a:xfrm>
          <a:prstGeom prst="rect">
            <a:avLst/>
          </a:prstGeom>
          <a:solidFill>
            <a:srgbClr val="2D9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a:solidFill>
                  <a:schemeClr val="lt1"/>
                </a:solidFill>
                <a:effectLst/>
                <a:latin typeface="Open Sans" panose="020B0606030504020204" pitchFamily="34" charset="0"/>
                <a:ea typeface="Open Sans" panose="020B0606030504020204" pitchFamily="34" charset="0"/>
                <a:cs typeface="Open Sans" panose="020B0606030504020204" pitchFamily="34" charset="0"/>
              </a:rPr>
              <a:t>Welcome to your individual Farm Sustainability Assessment </a:t>
            </a:r>
            <a:r>
              <a:rPr lang="en-IN" sz="1800" b="0">
                <a:solidFill>
                  <a:srgbClr val="F28705"/>
                </a:solidFill>
                <a:effectLst/>
                <a:latin typeface="Open Sans" panose="020B0606030504020204" pitchFamily="34" charset="0"/>
                <a:ea typeface="Open Sans" panose="020B0606030504020204" pitchFamily="34" charset="0"/>
                <a:cs typeface="Open Sans" panose="020B0606030504020204" pitchFamily="34" charset="0"/>
              </a:rPr>
              <a:t>+ Regenerating Together and Due Diligence</a:t>
            </a:r>
          </a:p>
        </xdr:txBody>
      </xdr:sp>
      <xdr:pic>
        <xdr:nvPicPr>
          <xdr:cNvPr id="37" name="Grafik 3">
            <a:extLst>
              <a:ext uri="{FF2B5EF4-FFF2-40B4-BE49-F238E27FC236}">
                <a16:creationId xmlns:a16="http://schemas.microsoft.com/office/drawing/2014/main" id="{FEA015FD-98A1-180D-3338-7269F6E1F7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7700" y="429757"/>
            <a:ext cx="1390329" cy="722090"/>
          </a:xfrm>
          <a:prstGeom prst="rect">
            <a:avLst/>
          </a:prstGeom>
        </xdr:spPr>
      </xdr:pic>
    </xdr:grpSp>
    <xdr:clientData/>
  </xdr:twoCellAnchor>
  <xdr:twoCellAnchor>
    <xdr:from>
      <xdr:col>2</xdr:col>
      <xdr:colOff>12700</xdr:colOff>
      <xdr:row>30</xdr:row>
      <xdr:rowOff>0</xdr:rowOff>
    </xdr:from>
    <xdr:to>
      <xdr:col>12</xdr:col>
      <xdr:colOff>368900</xdr:colOff>
      <xdr:row>85</xdr:row>
      <xdr:rowOff>59345</xdr:rowOff>
    </xdr:to>
    <xdr:sp macro="" textlink="">
      <xdr:nvSpPr>
        <xdr:cNvPr id="38" name="regen" hidden="1">
          <a:extLst>
            <a:ext uri="{FF2B5EF4-FFF2-40B4-BE49-F238E27FC236}">
              <a16:creationId xmlns:a16="http://schemas.microsoft.com/office/drawing/2014/main" id="{331E4138-0353-4DF8-B42E-5A5258ADCA75}"/>
            </a:ext>
          </a:extLst>
        </xdr:cNvPr>
        <xdr:cNvSpPr/>
      </xdr:nvSpPr>
      <xdr:spPr>
        <a:xfrm>
          <a:off x="748588" y="4427196"/>
          <a:ext cx="13174891" cy="10314299"/>
        </a:xfrm>
        <a:prstGeom prst="rect">
          <a:avLst/>
        </a:prstGeom>
        <a:no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Welcome</a:t>
          </a:r>
          <a:r>
            <a:rPr lang="en-IN" sz="1200" b="0" kern="1200" baseline="0">
              <a:solidFill>
                <a:srgbClr val="2D953E"/>
              </a:solidFill>
              <a:latin typeface="Open Sans" panose="020B0606030504020204" pitchFamily="34" charset="0"/>
              <a:ea typeface="Open Sans" panose="020B0606030504020204" pitchFamily="34" charset="0"/>
              <a:cs typeface="Open Sans" panose="020B0606030504020204" pitchFamily="34" charset="0"/>
            </a:rPr>
            <a:t> to the Farm Sustainability Assessment (FSA) Prototype Self-Assessment Questionnaire. This prototype contains additional questions and functionalities as part of the Regenerating Together Module and FSA Due Dilligence Add-on.</a:t>
          </a:r>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is used by farmers around the world to self-assess their social, environmental, and business performance against an agreed set of global best practice.</a:t>
          </a:r>
          <a:r>
            <a:rPr lang="en-IN" sz="1200" b="0" kern="1200" baseline="0">
              <a:solidFill>
                <a:srgbClr val="2D953E"/>
              </a:solidFill>
              <a:latin typeface="Open Sans" panose="020B0606030504020204" pitchFamily="34" charset="0"/>
              <a:ea typeface="Open Sans" panose="020B0606030504020204" pitchFamily="34" charset="0"/>
              <a:cs typeface="Open Sans" panose="020B0606030504020204" pitchFamily="34" charset="0"/>
            </a:rPr>
            <a:t> </a:t>
          </a:r>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can help farmers identify the next step on their sustainability journey, and to demonstrate their sustainability performance in the marketplace.</a:t>
          </a: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Companies in the global agricultural value chain are increasingly relying on the FSA to promote and assure that sustainable farming practices are in place at farm level. The FSA allows companies to effectively communicate their sustainability aspirations along the supply chain, while leaving it up to the farmer on how to best deliver on them.</a:t>
          </a: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self-assessment questionnaire is the foundation for assessing farm sustainability performance. The results of the self-assessment can be independently verified to enable an FSA Bronze, Silver or Gold performance level claim. Assessments can be made of one or more crops produced by the farm or may assess full-farm operations covering all outputs. This can be done on a single farm or with a group of farms, whereby a sample of farms will be randomly selected to complete the self-assessment questionnaire on behalf of the group.</a:t>
          </a:r>
          <a:br>
            <a:rPr lang="en-IN" sz="1200" b="1"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br>
          <a:br>
            <a:rPr lang="en-IN" sz="1200" b="1"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This version of the Self-Assessment Questionnaire includes the FSA-Regen Ag Module and asks a number of additional questions about regenerative farming practices. </a:t>
          </a:r>
          <a:b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1" kern="1200">
              <a:solidFill>
                <a:schemeClr val="tx1"/>
              </a:solidFill>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How to complete this self-assessment:</a:t>
          </a:r>
          <a:b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1.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Regenerating Together</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Module users should select which outcome and indicators their Farm Management Group are quantifying as part of their module implementation. Specifiy whether a baseline has been set for these indicators, and whtehr progress has yet been quantified over time. </a:t>
          </a:r>
          <a:r>
            <a:rPr lang="en-IN" sz="1200" b="1"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NB: Share this version of the SAQ with the growers in your FMG as it is important they are monitoring the same outcomes and indicators over time.</a:t>
          </a:r>
          <a:endPar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2.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Open the “General Questions” tab and complete the basic questions about your farm.</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3.</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Open the “Self-Assessment Questionnaire” tab and answer the questions in column G</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FSA Questions can only be answered by YES, NO or NOT APPLICABLE</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Regen Ag Questions can be answered YES, NO or NOT APPLICABLE. Several questions also have a Part b which ask for a %</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area value.</a:t>
          </a:r>
        </a:p>
        <a:p>
          <a:pPr marL="0" marR="0" lvl="0" indent="0" algn="l" defTabSz="914400" eaLnBrk="1" fontAlgn="auto" latinLnBrk="0" hangingPunct="1">
            <a:lnSpc>
              <a:spcPct val="100000"/>
            </a:lnSpc>
            <a:spcBef>
              <a:spcPts val="0"/>
            </a:spcBef>
            <a:spcAft>
              <a:spcPts val="0"/>
            </a:spcAft>
            <a:buClrTx/>
            <a:buSzTx/>
            <a:buFontTx/>
            <a:buNone/>
            <a:tabLst/>
            <a:defRPr/>
          </a:pP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The ‘Guidance &amp; Further Information’ section provides insight into the requirements for answering this question with YES or NOT APPLICABLE, as well as suggestions 	</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for further reading.</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The filters can help you to quickly find questions based on their status (essential, intermediate, advance), topic, or other identifiers.</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4.</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Once you have completed the Self-Assessment Questionnaire, you can review your performance using the “Performance” tab. This tab shows you an FSA</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and Regen Ag performance level</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It also identifies opportunities for you to increase your performance to the next level. </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5.</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Open the “FSA 3.0 Glossary” tab if you want to se the definition of any of the terms used in the Self-Assessment Questionnaire.</a:t>
          </a:r>
          <a:endParaRPr lang="en-IN" sz="1200">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chemeClr val="tx1"/>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Contact your FMG Manager if you have any further questions about this Self-Assessment or download the FSA Topic Guides to get even more detailed guidance on how to improve your performance. </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chemeClr val="tx1"/>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Visit ► https://saiplatform.org to learn more about SAI Platform and the FSA.</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chemeClr val="tx1"/>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Thank you for your time and your commitment to sustainable farming and good luck completing the FSA + Regen Ag Self-Assessment Questionnaire.</a:t>
          </a:r>
        </a:p>
        <a:p>
          <a:pPr algn="l"/>
          <a:endPar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endParaRPr>
        </a:p>
      </xdr:txBody>
    </xdr:sp>
    <xdr:clientData/>
  </xdr:twoCellAnchor>
  <xdr:twoCellAnchor>
    <xdr:from>
      <xdr:col>1</xdr:col>
      <xdr:colOff>590550</xdr:colOff>
      <xdr:row>18</xdr:row>
      <xdr:rowOff>0</xdr:rowOff>
    </xdr:from>
    <xdr:to>
      <xdr:col>12</xdr:col>
      <xdr:colOff>337150</xdr:colOff>
      <xdr:row>72</xdr:row>
      <xdr:rowOff>25400</xdr:rowOff>
    </xdr:to>
    <xdr:sp macro="" textlink="">
      <xdr:nvSpPr>
        <xdr:cNvPr id="39" name="csddd" hidden="1">
          <a:extLst>
            <a:ext uri="{FF2B5EF4-FFF2-40B4-BE49-F238E27FC236}">
              <a16:creationId xmlns:a16="http://schemas.microsoft.com/office/drawing/2014/main" id="{1233C908-38C7-4C7B-A219-1BDE33F4C650}"/>
            </a:ext>
          </a:extLst>
        </xdr:cNvPr>
        <xdr:cNvSpPr/>
      </xdr:nvSpPr>
      <xdr:spPr>
        <a:xfrm>
          <a:off x="647700" y="3194050"/>
          <a:ext cx="10440000" cy="7575550"/>
        </a:xfrm>
        <a:prstGeom prst="rect">
          <a:avLst/>
        </a:prstGeom>
        <a:no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Welcome</a:t>
          </a:r>
          <a:r>
            <a:rPr lang="en-IN" sz="1200" b="0" kern="1200" baseline="0">
              <a:solidFill>
                <a:srgbClr val="2D953E"/>
              </a:solidFill>
              <a:latin typeface="Open Sans" panose="020B0606030504020204" pitchFamily="34" charset="0"/>
              <a:ea typeface="Open Sans" panose="020B0606030504020204" pitchFamily="34" charset="0"/>
              <a:cs typeface="Open Sans" panose="020B0606030504020204" pitchFamily="34" charset="0"/>
            </a:rPr>
            <a:t> to the Farm Sustainability Assessment (FSA) Prototype Self-Assessment Questionnaire. This prototype contains additional questions and functionalities as part of the Regenerating Together Module and FSA Due Dilligence Add-on.</a:t>
          </a:r>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endPar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endParaRPr>
        </a:p>
        <a:p>
          <a:pPr algn="l"/>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Farm Sustainability Assessment (FSA) is used by farmers around the world to self-assess their social, environmental, and business performance against an agreed set of global best practice.</a:t>
          </a:r>
          <a:r>
            <a:rPr lang="en-IN" sz="1200" b="1" kern="1200" baseline="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 </a:t>
          </a:r>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FSA can help farmers identify the next step on their sustainability journey, and to demonstrate their sustainability performance in the marketplace.</a:t>
          </a:r>
        </a:p>
        <a:p>
          <a:pPr algn="l"/>
          <a:endPar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endParaRPr>
        </a:p>
        <a:p>
          <a:pPr algn="l"/>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Companies in the global agricultural value chain are increasingly relying on the FSA to promote and assure that sustainable farming practices are in place at farm level. The FSA allows companies to effectively communicate their sustainability aspirations along the supply chain, while leaving it up to the farmer on how to best deliver on them.</a:t>
          </a:r>
        </a:p>
        <a:p>
          <a:pPr algn="l"/>
          <a:endPar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1"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t>The FSA self-assessment questionnaire is the foundation for assessing farm sustainability performance. The results of the self-assessment can be independently verified to enable an FSA Bronze, Silver or Gold performance level claim. Assessments can be made of one or more crops produced by the farm or may assess full-farm operations covering all outputs. This can be done on a single farm or with a group of farms, whereby a sample of farms will be randomly selected to complete the self-assessment questionnaire on behalf of the group.</a:t>
          </a:r>
          <a:br>
            <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rPr>
          </a:br>
          <a:br>
            <a:rPr lang="en-IN" sz="1100" b="0">
              <a:solidFill>
                <a:srgbClr val="FF0000"/>
              </a:solidFill>
              <a:effectLst/>
              <a:latin typeface="+mn-lt"/>
              <a:ea typeface="+mn-ea"/>
              <a:cs typeface="+mn-cs"/>
            </a:rPr>
          </a:br>
          <a:r>
            <a:rPr lang="en-IN" sz="11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This version of the Self-Assessment Questionnaire also includes an</a:t>
          </a:r>
          <a:r>
            <a:rPr lang="en-IN" sz="1100" b="0"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additional set of questions to support users' due diligence approaches.</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chemeClr val="tx1"/>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1" i="1">
              <a:solidFill>
                <a:schemeClr val="tx1"/>
              </a:solidFill>
              <a:effectLst/>
              <a:latin typeface="+mn-lt"/>
              <a:ea typeface="+mn-ea"/>
              <a:cs typeface="+mn-cs"/>
            </a:rPr>
            <a:t>How to complete this self-assessment:</a:t>
          </a:r>
          <a:br>
            <a:rPr lang="en-IN" sz="1100" b="1" i="1">
              <a:solidFill>
                <a:schemeClr val="tx1"/>
              </a:solidFill>
              <a:effectLst/>
              <a:latin typeface="+mn-lt"/>
              <a:ea typeface="+mn-ea"/>
              <a:cs typeface="+mn-cs"/>
            </a:rPr>
          </a:br>
          <a:br>
            <a:rPr lang="en-IN" sz="1100" b="1" i="1">
              <a:solidFill>
                <a:schemeClr val="tx1"/>
              </a:solidFill>
              <a:effectLst/>
              <a:latin typeface="+mn-lt"/>
              <a:ea typeface="+mn-ea"/>
              <a:cs typeface="+mn-cs"/>
            </a:rPr>
          </a:br>
          <a:r>
            <a:rPr lang="en-IN" sz="1100" b="1" i="1">
              <a:solidFill>
                <a:schemeClr val="tx1"/>
              </a:solidFill>
              <a:effectLst/>
              <a:latin typeface="+mn-lt"/>
              <a:ea typeface="+mn-ea"/>
              <a:cs typeface="+mn-cs"/>
            </a:rPr>
            <a:t>1. </a:t>
          </a:r>
          <a:r>
            <a:rPr lang="en-IN" sz="1100" b="0" i="1">
              <a:solidFill>
                <a:schemeClr val="tx1"/>
              </a:solidFill>
              <a:effectLst/>
              <a:latin typeface="+mn-lt"/>
              <a:ea typeface="+mn-ea"/>
              <a:cs typeface="+mn-cs"/>
            </a:rPr>
            <a:t>Open the “General Questions” tab and complete the basic questions about your farm.</a:t>
          </a:r>
          <a:br>
            <a:rPr lang="en-IN" sz="1100" b="0" i="1">
              <a:solidFill>
                <a:schemeClr val="tx1"/>
              </a:solidFill>
              <a:effectLst/>
              <a:latin typeface="+mn-lt"/>
              <a:ea typeface="+mn-ea"/>
              <a:cs typeface="+mn-cs"/>
            </a:rPr>
          </a:br>
          <a:br>
            <a:rPr lang="en-IN" sz="1100" b="0" i="1">
              <a:solidFill>
                <a:schemeClr val="tx1"/>
              </a:solidFill>
              <a:effectLst/>
              <a:latin typeface="+mn-lt"/>
              <a:ea typeface="+mn-ea"/>
              <a:cs typeface="+mn-cs"/>
            </a:rPr>
          </a:br>
          <a:r>
            <a:rPr lang="en-IN" sz="1100" b="1" i="1">
              <a:solidFill>
                <a:schemeClr val="tx1"/>
              </a:solidFill>
              <a:effectLst/>
              <a:latin typeface="+mn-lt"/>
              <a:ea typeface="+mn-ea"/>
              <a:cs typeface="+mn-cs"/>
            </a:rPr>
            <a:t>2.</a:t>
          </a:r>
          <a:r>
            <a:rPr lang="en-IN" sz="1100" b="0" i="1">
              <a:solidFill>
                <a:schemeClr val="tx1"/>
              </a:solidFill>
              <a:effectLst/>
              <a:latin typeface="+mn-lt"/>
              <a:ea typeface="+mn-ea"/>
              <a:cs typeface="+mn-cs"/>
            </a:rPr>
            <a:t> Open the “Self-Assessment Questionnaire” tab and answer the questions in column G</a:t>
          </a:r>
          <a:br>
            <a:rPr lang="en-IN" sz="1100" b="0" i="1">
              <a:solidFill>
                <a:schemeClr val="tx1"/>
              </a:solidFill>
              <a:effectLst/>
              <a:latin typeface="+mn-lt"/>
              <a:ea typeface="+mn-ea"/>
              <a:cs typeface="+mn-cs"/>
            </a:rPr>
          </a:br>
          <a:br>
            <a:rPr lang="en-IN" sz="1100" b="0" i="1">
              <a:solidFill>
                <a:schemeClr val="tx1"/>
              </a:solidFill>
              <a:effectLst/>
              <a:latin typeface="+mn-lt"/>
              <a:ea typeface="+mn-ea"/>
              <a:cs typeface="+mn-cs"/>
            </a:rPr>
          </a:br>
          <a:r>
            <a:rPr lang="en-IN" sz="1100" b="0" i="1">
              <a:solidFill>
                <a:schemeClr val="tx1"/>
              </a:solidFill>
              <a:effectLst/>
              <a:latin typeface="+mn-lt"/>
              <a:ea typeface="+mn-ea"/>
              <a:cs typeface="+mn-cs"/>
            </a:rPr>
            <a:t>	FSA Questions can only be answered by YES, NO or NOT APPLICABLE.</a:t>
          </a:r>
          <a:br>
            <a:rPr lang="en-IN" sz="1100" b="0" i="1">
              <a:solidFill>
                <a:schemeClr val="tx1"/>
              </a:solidFill>
              <a:effectLst/>
              <a:latin typeface="+mn-lt"/>
              <a:ea typeface="+mn-ea"/>
              <a:cs typeface="+mn-cs"/>
            </a:rPr>
          </a:br>
          <a:br>
            <a:rPr lang="en-IN" sz="1100" b="0" i="1">
              <a:solidFill>
                <a:schemeClr val="tx1"/>
              </a:solidFill>
              <a:effectLst/>
              <a:latin typeface="+mn-lt"/>
              <a:ea typeface="+mn-ea"/>
              <a:cs typeface="+mn-cs"/>
            </a:rPr>
          </a:br>
          <a:r>
            <a:rPr lang="en-IN" sz="1100" b="0" i="1">
              <a:solidFill>
                <a:schemeClr val="tx1"/>
              </a:solidFill>
              <a:effectLst/>
              <a:latin typeface="+mn-lt"/>
              <a:ea typeface="+mn-ea"/>
              <a:cs typeface="+mn-cs"/>
            </a:rPr>
            <a:t>	The ‘Guidance &amp; Further Information’ section provides insight into the requirements for answering this question with YES or NOT APPLICABLE, as well as suggestions 	</a:t>
          </a:r>
          <a:br>
            <a:rPr lang="en-IN" sz="1100" b="0" i="1">
              <a:solidFill>
                <a:schemeClr val="tx1"/>
              </a:solidFill>
              <a:effectLst/>
              <a:latin typeface="+mn-lt"/>
              <a:ea typeface="+mn-ea"/>
              <a:cs typeface="+mn-cs"/>
            </a:rPr>
          </a:br>
          <a:r>
            <a:rPr lang="en-IN" sz="1100" b="0" i="1">
              <a:solidFill>
                <a:schemeClr val="tx1"/>
              </a:solidFill>
              <a:effectLst/>
              <a:latin typeface="+mn-lt"/>
              <a:ea typeface="+mn-ea"/>
              <a:cs typeface="+mn-cs"/>
            </a:rPr>
            <a:t>	for further reading.</a:t>
          </a:r>
          <a:br>
            <a:rPr lang="en-IN" sz="1100" b="0" i="1">
              <a:solidFill>
                <a:schemeClr val="tx1"/>
              </a:solidFill>
              <a:effectLst/>
              <a:latin typeface="+mn-lt"/>
              <a:ea typeface="+mn-ea"/>
              <a:cs typeface="+mn-cs"/>
            </a:rPr>
          </a:br>
          <a:br>
            <a:rPr lang="en-IN" sz="1100" b="0" i="1" baseline="0">
              <a:solidFill>
                <a:schemeClr val="tx1"/>
              </a:solidFill>
              <a:effectLst/>
              <a:latin typeface="+mn-lt"/>
              <a:ea typeface="+mn-ea"/>
              <a:cs typeface="+mn-cs"/>
            </a:rPr>
          </a:br>
          <a:r>
            <a:rPr lang="en-IN" sz="1100" b="0" i="1" baseline="0">
              <a:solidFill>
                <a:schemeClr val="tx1"/>
              </a:solidFill>
              <a:effectLst/>
              <a:latin typeface="+mn-lt"/>
              <a:ea typeface="+mn-ea"/>
              <a:cs typeface="+mn-cs"/>
            </a:rPr>
            <a:t>	</a:t>
          </a:r>
          <a:r>
            <a:rPr lang="en-IN" sz="1100" b="0" i="1">
              <a:solidFill>
                <a:schemeClr val="tx1"/>
              </a:solidFill>
              <a:effectLst/>
              <a:latin typeface="+mn-lt"/>
              <a:ea typeface="+mn-ea"/>
              <a:cs typeface="+mn-cs"/>
            </a:rPr>
            <a:t>The filters can help you to quickly find questions based on their status (essential, intermediate, advance), topic, or other identifiers.</a:t>
          </a:r>
          <a:br>
            <a:rPr lang="en-IN" sz="1100" b="0" i="1">
              <a:solidFill>
                <a:schemeClr val="tx1"/>
              </a:solidFill>
              <a:effectLst/>
              <a:latin typeface="+mn-lt"/>
              <a:ea typeface="+mn-ea"/>
              <a:cs typeface="+mn-cs"/>
            </a:rPr>
          </a:br>
          <a:br>
            <a:rPr lang="en-IN" sz="1100" b="0" i="1">
              <a:solidFill>
                <a:schemeClr val="tx1"/>
              </a:solidFill>
              <a:effectLst/>
              <a:latin typeface="+mn-lt"/>
              <a:ea typeface="+mn-ea"/>
              <a:cs typeface="+mn-cs"/>
            </a:rPr>
          </a:br>
          <a:r>
            <a:rPr lang="en-IN" sz="1100" b="1" i="1">
              <a:solidFill>
                <a:schemeClr val="tx1"/>
              </a:solidFill>
              <a:effectLst/>
              <a:latin typeface="+mn-lt"/>
              <a:ea typeface="+mn-ea"/>
              <a:cs typeface="+mn-cs"/>
            </a:rPr>
            <a:t>3.</a:t>
          </a:r>
          <a:r>
            <a:rPr lang="en-IN" sz="1100" b="0" i="1">
              <a:solidFill>
                <a:schemeClr val="tx1"/>
              </a:solidFill>
              <a:effectLst/>
              <a:latin typeface="+mn-lt"/>
              <a:ea typeface="+mn-ea"/>
              <a:cs typeface="+mn-cs"/>
            </a:rPr>
            <a:t> Once you have completed the Self-Assessment Questionnaire, you can review your performance using the “Performance” tab. It also identifies opportunities for you to increase your performance to the next level. </a:t>
          </a:r>
          <a:br>
            <a:rPr lang="en-IN" sz="1100" b="0" i="1">
              <a:solidFill>
                <a:schemeClr val="tx1"/>
              </a:solidFill>
              <a:effectLst/>
              <a:latin typeface="+mn-lt"/>
              <a:ea typeface="+mn-ea"/>
              <a:cs typeface="+mn-cs"/>
            </a:rPr>
          </a:br>
          <a:br>
            <a:rPr lang="en-IN" sz="1100" b="0" i="1">
              <a:solidFill>
                <a:schemeClr val="tx1"/>
              </a:solidFill>
              <a:effectLst/>
              <a:latin typeface="+mn-lt"/>
              <a:ea typeface="+mn-ea"/>
              <a:cs typeface="+mn-cs"/>
            </a:rPr>
          </a:br>
          <a:r>
            <a:rPr lang="en-IN" sz="1100" b="1" i="1">
              <a:solidFill>
                <a:schemeClr val="tx1"/>
              </a:solidFill>
              <a:effectLst/>
              <a:latin typeface="+mn-lt"/>
              <a:ea typeface="+mn-ea"/>
              <a:cs typeface="+mn-cs"/>
            </a:rPr>
            <a:t>4.</a:t>
          </a:r>
          <a:r>
            <a:rPr lang="en-IN" sz="1100" b="0" i="1">
              <a:solidFill>
                <a:schemeClr val="tx1"/>
              </a:solidFill>
              <a:effectLst/>
              <a:latin typeface="+mn-lt"/>
              <a:ea typeface="+mn-ea"/>
              <a:cs typeface="+mn-cs"/>
            </a:rPr>
            <a:t> Open the “FSA 3.0 Glossary” tab if you want to se the definition of any of the terms used in the Self-Assessment Questionnaire.</a:t>
          </a:r>
          <a:endParaRPr lang="en-IN" sz="1200">
            <a:solidFill>
              <a:schemeClr val="tx1"/>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Contact your FMG Manager if you have any further questions about this Self-Assessment or download the FSA Topic Guides to get even more detailed guidance on how to improve your performance. </a:t>
          </a:r>
          <a:endParaRPr lang="en-IN" sz="1200" b="0">
            <a:solidFill>
              <a:srgbClr val="2D953E"/>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Visit ► https://saiplatform.org to learn more about SAI Platform and the FSA.</a:t>
          </a:r>
          <a:endParaRPr lang="en-IN" sz="1200" b="0">
            <a:solidFill>
              <a:srgbClr val="2D953E"/>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Light" panose="020B0306030504020204" pitchFamily="34" charset="0"/>
              <a:ea typeface="Open Sans Light" panose="020B0306030504020204" pitchFamily="34" charset="0"/>
              <a:cs typeface="Open Sans Light" panose="020B0306030504020204" pitchFamily="34" charset="0"/>
            </a:rPr>
          </a:br>
          <a:r>
            <a:rPr lang="en-IN" sz="1100" b="0">
              <a:solidFill>
                <a:srgbClr val="2D953E"/>
              </a:solidFill>
              <a:effectLst/>
              <a:latin typeface="+mn-lt"/>
              <a:ea typeface="+mn-ea"/>
              <a:cs typeface="+mn-cs"/>
            </a:rPr>
            <a:t>Thank you for your time and your commitment to sustainable farming and good luck completing the FSA + Regen Ag Self-Assessment Questionnaire.</a:t>
          </a:r>
          <a:endParaRPr lang="en-IN" sz="1200" b="0">
            <a:solidFill>
              <a:srgbClr val="2D953E"/>
            </a:solidFill>
            <a:effectLst/>
          </a:endParaRPr>
        </a:p>
        <a:p>
          <a:pPr algn="l"/>
          <a:endParaRPr lang="en-IN" sz="1200" b="1" kern="1200">
            <a:solidFill>
              <a:sysClr val="windowText" lastClr="000000"/>
            </a:solidFill>
            <a:latin typeface="Open Sans Light" panose="020B0306030504020204" pitchFamily="34" charset="0"/>
            <a:ea typeface="Open Sans Light" panose="020B0306030504020204" pitchFamily="34" charset="0"/>
            <a:cs typeface="Open Sans Light" panose="020B0306030504020204" pitchFamily="34" charset="0"/>
          </a:endParaRPr>
        </a:p>
      </xdr:txBody>
    </xdr:sp>
    <xdr:clientData/>
  </xdr:twoCellAnchor>
  <xdr:twoCellAnchor>
    <xdr:from>
      <xdr:col>1</xdr:col>
      <xdr:colOff>590550</xdr:colOff>
      <xdr:row>30</xdr:row>
      <xdr:rowOff>0</xdr:rowOff>
    </xdr:from>
    <xdr:to>
      <xdr:col>12</xdr:col>
      <xdr:colOff>337150</xdr:colOff>
      <xdr:row>87</xdr:row>
      <xdr:rowOff>16933</xdr:rowOff>
    </xdr:to>
    <xdr:sp macro="" textlink="">
      <xdr:nvSpPr>
        <xdr:cNvPr id="40" name="regen_csddd">
          <a:extLst>
            <a:ext uri="{FF2B5EF4-FFF2-40B4-BE49-F238E27FC236}">
              <a16:creationId xmlns:a16="http://schemas.microsoft.com/office/drawing/2014/main" id="{5C02BDF7-A791-422F-91AD-DA7B33358682}"/>
            </a:ext>
          </a:extLst>
        </xdr:cNvPr>
        <xdr:cNvSpPr/>
      </xdr:nvSpPr>
      <xdr:spPr>
        <a:xfrm>
          <a:off x="658283" y="4351867"/>
          <a:ext cx="13259400" cy="10447866"/>
        </a:xfrm>
        <a:prstGeom prst="rect">
          <a:avLst/>
        </a:prstGeom>
        <a:no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Welcome</a:t>
          </a:r>
          <a:r>
            <a:rPr lang="en-IN" sz="1200" b="0" kern="1200" baseline="0">
              <a:solidFill>
                <a:srgbClr val="2D953E"/>
              </a:solidFill>
              <a:latin typeface="Open Sans" panose="020B0606030504020204" pitchFamily="34" charset="0"/>
              <a:ea typeface="Open Sans" panose="020B0606030504020204" pitchFamily="34" charset="0"/>
              <a:cs typeface="Open Sans" panose="020B0606030504020204" pitchFamily="34" charset="0"/>
            </a:rPr>
            <a:t> to the Farm Sustainability Assessment (FSA) Prototype Self-Assessment Questionnaire. This prototype contains additional questions and functionalities as part of the Regenerating Together Module and FSA Due Diligence Add-on.</a:t>
          </a:r>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is used by farmers around the world to self-assess their social, environmental, and business performance against an agreed set of global best practice.</a:t>
          </a:r>
          <a:r>
            <a:rPr lang="en-IN" sz="1200" b="0" kern="1200" baseline="0">
              <a:solidFill>
                <a:srgbClr val="2D953E"/>
              </a:solidFill>
              <a:latin typeface="Open Sans" panose="020B0606030504020204" pitchFamily="34" charset="0"/>
              <a:ea typeface="Open Sans" panose="020B0606030504020204" pitchFamily="34" charset="0"/>
              <a:cs typeface="Open Sans" panose="020B0606030504020204" pitchFamily="34" charset="0"/>
            </a:rPr>
            <a:t> </a:t>
          </a:r>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can help farmers identify the next step on their sustainability journey, and to demonstrate their sustainability performance in the marketplace.</a:t>
          </a: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algn="l"/>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Companies in the global agricultural value chain are increasingly relying on the FSA to promote and assure that sustainable farming practices are in place at farm level. The FSA allows companies to effectively communicate their sustainability aspirations along the supply chain, while leaving it up to the farmer on how to best deliver on them.</a:t>
          </a:r>
        </a:p>
        <a:p>
          <a:pPr algn="l"/>
          <a:endPar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t>The FSA self-assessment questionnaire is the foundation for assessing farm sustainability performance. The results of the self-assessment can be independently verified to enable an FSA Bronze, Silver or Gold performance level claim. Assessments can be made of one or more crops produced by the farm or may assess full-farm operations covering all outputs. This can be done on a single farm or with a group of farms, whereby a sample of farms will be randomly selected to complete the self-assessment questionnaire on behalf of the group.</a:t>
          </a:r>
          <a:br>
            <a:rPr lang="en-IN" sz="1200" b="0"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br>
          <a:br>
            <a:rPr lang="en-IN" sz="1200" b="1"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This version of the Self-Assessment Questionnaire includes the FSA-Regen Ag Module and asks a number of additional questions about regenerative farming practices. </a:t>
          </a:r>
          <a:b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This version of the Self-Assessment Questionnaire also includes an</a:t>
          </a:r>
          <a:r>
            <a:rPr lang="en-IN" sz="1200" b="0"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additional set of questions to support users' due diligence approaches.</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chemeClr val="tx1"/>
              </a:solidFill>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How to complete this self-assessment:</a:t>
          </a:r>
          <a:b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1.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Regenerating Together</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Module users should select which outcome and indicators their Farm Management Group are quantifying as part of their module implementation. Specifiy whether a baseline has been set for these indicators, and whether progress has yet been quantified over time. </a:t>
          </a:r>
          <a:r>
            <a:rPr lang="en-IN" sz="1200" b="1"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NB: Share this version of the SAQ with the growers in your FMG as it is important they are monitoring the same outcomes and indicators over time.</a:t>
          </a:r>
          <a:endPar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2.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Open the “General Questions” tab and complete the basic questions about your farm.</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3.</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Open the “Self-Assessment Questionnaire” tab and answer the questions in column G</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FSA Questions can only be answered by YES, NO or NOT APPLICABLE</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Regen Ag Questions can be answered YES, NO or NOT APPLICABLE. Several questions also have a Part b which ask for a %</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area value.</a:t>
          </a:r>
        </a:p>
        <a:p>
          <a:pPr marL="0" marR="0" lvl="0" indent="0" algn="l" defTabSz="914400" eaLnBrk="1" fontAlgn="auto" latinLnBrk="0" hangingPunct="1">
            <a:lnSpc>
              <a:spcPct val="100000"/>
            </a:lnSpc>
            <a:spcBef>
              <a:spcPts val="0"/>
            </a:spcBef>
            <a:spcAft>
              <a:spcPts val="0"/>
            </a:spcAft>
            <a:buClrTx/>
            <a:buSzTx/>
            <a:buFontTx/>
            <a:buNone/>
            <a:tabLst/>
            <a:defRPr/>
          </a:pP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The ‘Guidance &amp; Further Information’ section provides insight into the requirements for answering this question with YES or NOT APPLICABLE, as well as suggestions 	</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for further reading.</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The filters can help you to quickly find questions based on their status (essential, intermediate, advance), topic, or other identifiers.</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4.</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Once you have completed the Self-Assessment Questionnaire, you can review your performance using the “Performance” tab. This tab shows you an FSA</a:t>
          </a:r>
          <a:r>
            <a:rPr lang="en-IN" sz="1200" b="0" i="1" baseline="0">
              <a:solidFill>
                <a:schemeClr val="tx1"/>
              </a:solidFill>
              <a:effectLst/>
              <a:latin typeface="Open Sans" panose="020B0606030504020204" pitchFamily="34" charset="0"/>
              <a:ea typeface="Open Sans" panose="020B0606030504020204" pitchFamily="34" charset="0"/>
              <a:cs typeface="Open Sans" panose="020B0606030504020204" pitchFamily="34" charset="0"/>
            </a:rPr>
            <a:t> and Regen Ag performance level</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It also identifies opportunities for you to increase your performance to the next level. </a:t>
          </a: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b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br>
          <a:r>
            <a:rPr lang="en-IN" sz="1200" b="1"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5.</a:t>
          </a:r>
          <a:r>
            <a:rPr lang="en-IN" sz="1200" b="0" i="1">
              <a:solidFill>
                <a:schemeClr val="tx1"/>
              </a:solidFill>
              <a:effectLst/>
              <a:latin typeface="Open Sans" panose="020B0606030504020204" pitchFamily="34" charset="0"/>
              <a:ea typeface="Open Sans" panose="020B0606030504020204" pitchFamily="34" charset="0"/>
              <a:cs typeface="Open Sans" panose="020B0606030504020204" pitchFamily="34" charset="0"/>
            </a:rPr>
            <a:t> Open the “FSA 3.0 Glossary” tab if you want to se the definition of any of the terms used in the Self-Assessment Questionnaire.</a:t>
          </a:r>
          <a:endParaRPr lang="en-IN" sz="1200">
            <a:solidFill>
              <a:schemeClr val="tx1"/>
            </a:solidFill>
            <a:effectLst/>
            <a:latin typeface="Open Sans" panose="020B0606030504020204" pitchFamily="34" charset="0"/>
            <a:ea typeface="Open Sans" panose="020B0606030504020204" pitchFamily="34" charset="0"/>
            <a:cs typeface="Open Sans" panose="020B0606030504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br>
            <a:rPr lang="en-IN" sz="1200" b="1"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rgbClr val="2D953E"/>
              </a:solidFill>
              <a:effectLst/>
              <a:latin typeface="Open Sans" panose="020B0606030504020204" pitchFamily="34" charset="0"/>
              <a:ea typeface="Open Sans" panose="020B0606030504020204" pitchFamily="34" charset="0"/>
              <a:cs typeface="Open Sans" panose="020B0606030504020204" pitchFamily="34" charset="0"/>
            </a:rPr>
            <a:t>Contact your FMG Manager if you have any further questions about this Self-Assessment or download the FSA Topic Guides to get even more detailed guidance on how to improve your performance. </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rgbClr val="2D953E"/>
              </a:solidFill>
              <a:effectLst/>
              <a:latin typeface="Open Sans" panose="020B0606030504020204" pitchFamily="34" charset="0"/>
              <a:ea typeface="Open Sans" panose="020B0606030504020204" pitchFamily="34" charset="0"/>
              <a:cs typeface="Open Sans" panose="020B0606030504020204" pitchFamily="34" charset="0"/>
            </a:rPr>
            <a:t>Visit ► https://saiplatform.org to learn more about SAI Platform and the FSA.</a:t>
          </a:r>
        </a:p>
        <a:p>
          <a:pPr marL="0" marR="0" lvl="0" indent="0" algn="l" defTabSz="914400" eaLnBrk="1" fontAlgn="auto" latinLnBrk="0" hangingPunct="1">
            <a:lnSpc>
              <a:spcPct val="100000"/>
            </a:lnSpc>
            <a:spcBef>
              <a:spcPts val="0"/>
            </a:spcBef>
            <a:spcAft>
              <a:spcPts val="0"/>
            </a:spcAft>
            <a:buClrTx/>
            <a:buSzTx/>
            <a:buFontTx/>
            <a:buNone/>
            <a:tabLst/>
            <a:defRPr/>
          </a:pPr>
          <a:br>
            <a:rPr lang="en-IN" sz="1200" b="0" kern="1200">
              <a:solidFill>
                <a:srgbClr val="2D953E"/>
              </a:solidFill>
              <a:latin typeface="Open Sans" panose="020B0606030504020204" pitchFamily="34" charset="0"/>
              <a:ea typeface="Open Sans" panose="020B0606030504020204" pitchFamily="34" charset="0"/>
              <a:cs typeface="Open Sans" panose="020B0606030504020204" pitchFamily="34" charset="0"/>
            </a:rPr>
          </a:br>
          <a:r>
            <a:rPr lang="en-IN" sz="1200" b="0">
              <a:solidFill>
                <a:srgbClr val="2D953E"/>
              </a:solidFill>
              <a:effectLst/>
              <a:latin typeface="Open Sans" panose="020B0606030504020204" pitchFamily="34" charset="0"/>
              <a:ea typeface="Open Sans" panose="020B0606030504020204" pitchFamily="34" charset="0"/>
              <a:cs typeface="Open Sans" panose="020B0606030504020204" pitchFamily="34" charset="0"/>
            </a:rPr>
            <a:t>Thank you for your time and your commitment to sustainable farming and good luck completing the FSA + Regen Ag Self-Assessment Questionnaire.</a:t>
          </a:r>
        </a:p>
        <a:p>
          <a:pPr algn="l"/>
          <a:endParaRPr lang="en-IN" sz="1200" b="1"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546100</xdr:colOff>
      <xdr:row>7</xdr:row>
      <xdr:rowOff>57150</xdr:rowOff>
    </xdr:from>
    <xdr:to>
      <xdr:col>12</xdr:col>
      <xdr:colOff>343028</xdr:colOff>
      <xdr:row>12</xdr:row>
      <xdr:rowOff>36400</xdr:rowOff>
    </xdr:to>
    <xdr:sp macro="" textlink="">
      <xdr:nvSpPr>
        <xdr:cNvPr id="42" name="Rectangle 41">
          <a:extLst>
            <a:ext uri="{FF2B5EF4-FFF2-40B4-BE49-F238E27FC236}">
              <a16:creationId xmlns:a16="http://schemas.microsoft.com/office/drawing/2014/main" id="{1F02F563-8B4C-4E89-86FA-AC7E5BB033AF}"/>
            </a:ext>
          </a:extLst>
        </xdr:cNvPr>
        <xdr:cNvSpPr/>
      </xdr:nvSpPr>
      <xdr:spPr>
        <a:xfrm>
          <a:off x="609600" y="1263650"/>
          <a:ext cx="11433303" cy="931750"/>
        </a:xfrm>
        <a:prstGeom prst="rect">
          <a:avLst/>
        </a:prstGeom>
        <a:solidFill>
          <a:schemeClr val="bg1"/>
        </a:solidFill>
        <a:ln>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3" algn="ctr"/>
          <a:endParaRPr lang="en-IN" sz="2400"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5</xdr:col>
      <xdr:colOff>133753</xdr:colOff>
      <xdr:row>7</xdr:row>
      <xdr:rowOff>150325</xdr:rowOff>
    </xdr:from>
    <xdr:to>
      <xdr:col>12</xdr:col>
      <xdr:colOff>171236</xdr:colOff>
      <xdr:row>11</xdr:row>
      <xdr:rowOff>133725</xdr:rowOff>
    </xdr:to>
    <xdr:sp macro="" textlink="">
      <xdr:nvSpPr>
        <xdr:cNvPr id="45" name="Rectangle 44">
          <a:extLst>
            <a:ext uri="{FF2B5EF4-FFF2-40B4-BE49-F238E27FC236}">
              <a16:creationId xmlns:a16="http://schemas.microsoft.com/office/drawing/2014/main" id="{AEBD316D-29B0-46D1-A9C2-C081D0018711}"/>
            </a:ext>
          </a:extLst>
        </xdr:cNvPr>
        <xdr:cNvSpPr/>
      </xdr:nvSpPr>
      <xdr:spPr>
        <a:xfrm>
          <a:off x="3016225" y="1320437"/>
          <a:ext cx="11196359" cy="725423"/>
        </a:xfrm>
        <a:prstGeom prst="rect">
          <a:avLst/>
        </a:prstGeom>
        <a:solidFill>
          <a:srgbClr val="D9D9D9"/>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3" algn="ctr"/>
          <a:endParaRPr lang="en-IN" sz="2400"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5</xdr:col>
      <xdr:colOff>535970</xdr:colOff>
      <xdr:row>8</xdr:row>
      <xdr:rowOff>40421</xdr:rowOff>
    </xdr:from>
    <xdr:to>
      <xdr:col>6</xdr:col>
      <xdr:colOff>2187051</xdr:colOff>
      <xdr:row>11</xdr:row>
      <xdr:rowOff>27971</xdr:rowOff>
    </xdr:to>
    <xdr:sp macro="" textlink="">
      <xdr:nvSpPr>
        <xdr:cNvPr id="51" name="Rectangle: Rounded Corners 50">
          <a:extLst>
            <a:ext uri="{FF2B5EF4-FFF2-40B4-BE49-F238E27FC236}">
              <a16:creationId xmlns:a16="http://schemas.microsoft.com/office/drawing/2014/main" id="{7C5CDA7D-9ACE-49A1-9332-520AEFBC8010}"/>
            </a:ext>
          </a:extLst>
        </xdr:cNvPr>
        <xdr:cNvSpPr/>
      </xdr:nvSpPr>
      <xdr:spPr>
        <a:xfrm>
          <a:off x="3195033" y="1381859"/>
          <a:ext cx="2270206" cy="535237"/>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1">
              <a:solidFill>
                <a:sysClr val="windowText" lastClr="000000"/>
              </a:solidFill>
              <a:effectLst/>
              <a:latin typeface="Open Sans" panose="020B0606030504020204" pitchFamily="34" charset="0"/>
              <a:ea typeface="Open Sans" panose="020B0606030504020204" pitchFamily="34" charset="0"/>
              <a:cs typeface="Open Sans" panose="020B0606030504020204" pitchFamily="34" charset="0"/>
            </a:rPr>
            <a:t>Would you like to use any</a:t>
          </a:r>
          <a:r>
            <a:rPr lang="en-GB" sz="1100" b="1" baseline="0">
              <a:solidFill>
                <a:sysClr val="windowText" lastClr="000000"/>
              </a:solidFill>
              <a:effectLst/>
              <a:latin typeface="Open Sans" panose="020B0606030504020204" pitchFamily="34" charset="0"/>
              <a:ea typeface="Open Sans" panose="020B0606030504020204" pitchFamily="34" charset="0"/>
              <a:cs typeface="Open Sans" panose="020B0606030504020204" pitchFamily="34" charset="0"/>
            </a:rPr>
            <a:t> add-ons in </a:t>
          </a:r>
          <a:r>
            <a:rPr lang="en-GB" sz="1100" b="1">
              <a:solidFill>
                <a:sysClr val="windowText" lastClr="000000"/>
              </a:solidFill>
              <a:effectLst/>
              <a:latin typeface="Open Sans" panose="020B0606030504020204" pitchFamily="34" charset="0"/>
              <a:ea typeface="Open Sans" panose="020B0606030504020204" pitchFamily="34" charset="0"/>
              <a:cs typeface="Open Sans" panose="020B0606030504020204" pitchFamily="34" charset="0"/>
            </a:rPr>
            <a:t>your assessment?</a:t>
          </a:r>
          <a:endParaRPr lang="en-IN" sz="1800">
            <a:solidFill>
              <a:sysClr val="windowText" lastClr="000000"/>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343611</xdr:colOff>
      <xdr:row>7</xdr:row>
      <xdr:rowOff>149243</xdr:rowOff>
    </xdr:from>
    <xdr:to>
      <xdr:col>4</xdr:col>
      <xdr:colOff>412655</xdr:colOff>
      <xdr:row>11</xdr:row>
      <xdr:rowOff>134807</xdr:rowOff>
    </xdr:to>
    <xdr:pic>
      <xdr:nvPicPr>
        <xdr:cNvPr id="55" name="Grafik 3">
          <a:extLst>
            <a:ext uri="{FF2B5EF4-FFF2-40B4-BE49-F238E27FC236}">
              <a16:creationId xmlns:a16="http://schemas.microsoft.com/office/drawing/2014/main" id="{90EAF05B-F6CF-4C51-A610-B2D1E5C4DE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3861" y="1355743"/>
          <a:ext cx="1545419" cy="747564"/>
        </a:xfrm>
        <a:prstGeom prst="rect">
          <a:avLst/>
        </a:prstGeom>
      </xdr:spPr>
    </xdr:pic>
    <xdr:clientData/>
  </xdr:twoCellAnchor>
  <xdr:twoCellAnchor>
    <xdr:from>
      <xdr:col>1</xdr:col>
      <xdr:colOff>30164</xdr:colOff>
      <xdr:row>1</xdr:row>
      <xdr:rowOff>22226</xdr:rowOff>
    </xdr:from>
    <xdr:to>
      <xdr:col>13</xdr:col>
      <xdr:colOff>247164</xdr:colOff>
      <xdr:row>6</xdr:row>
      <xdr:rowOff>109920</xdr:rowOff>
    </xdr:to>
    <xdr:grpSp>
      <xdr:nvGrpSpPr>
        <xdr:cNvPr id="57" name="Group 56">
          <a:extLst>
            <a:ext uri="{FF2B5EF4-FFF2-40B4-BE49-F238E27FC236}">
              <a16:creationId xmlns:a16="http://schemas.microsoft.com/office/drawing/2014/main" id="{50B9B80E-4FFE-440F-8196-DABB29ACB7E3}"/>
            </a:ext>
          </a:extLst>
        </xdr:cNvPr>
        <xdr:cNvGrpSpPr/>
      </xdr:nvGrpSpPr>
      <xdr:grpSpPr>
        <a:xfrm>
          <a:off x="84139" y="92076"/>
          <a:ext cx="13679000" cy="986219"/>
          <a:chOff x="103005" y="2784104"/>
          <a:chExt cx="10865095" cy="999838"/>
        </a:xfrm>
      </xdr:grpSpPr>
      <xdr:sp macro="" textlink="">
        <xdr:nvSpPr>
          <xdr:cNvPr id="58" name="Rectangle 57">
            <a:extLst>
              <a:ext uri="{FF2B5EF4-FFF2-40B4-BE49-F238E27FC236}">
                <a16:creationId xmlns:a16="http://schemas.microsoft.com/office/drawing/2014/main" id="{3A5AB42D-D5D4-A817-BC11-2E98C4E1B642}"/>
              </a:ext>
            </a:extLst>
          </xdr:cNvPr>
          <xdr:cNvSpPr/>
        </xdr:nvSpPr>
        <xdr:spPr>
          <a:xfrm>
            <a:off x="103005" y="2784104"/>
            <a:ext cx="10865095" cy="988443"/>
          </a:xfrm>
          <a:prstGeom prst="rect">
            <a:avLst/>
          </a:prstGeom>
          <a:solidFill>
            <a:schemeClr val="bg1"/>
          </a:solidFill>
          <a:ln w="12700">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59" name="Rectangle 58">
            <a:extLst>
              <a:ext uri="{FF2B5EF4-FFF2-40B4-BE49-F238E27FC236}">
                <a16:creationId xmlns:a16="http://schemas.microsoft.com/office/drawing/2014/main" id="{DE1EDEF4-3FB8-0C3C-5CB4-C703959DDC12}"/>
              </a:ext>
            </a:extLst>
          </xdr:cNvPr>
          <xdr:cNvSpPr/>
        </xdr:nvSpPr>
        <xdr:spPr>
          <a:xfrm>
            <a:off x="377738" y="3036959"/>
            <a:ext cx="8325670" cy="6890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Open Sans" panose="020B0606030504020204" pitchFamily="34" charset="0"/>
              <a:ea typeface="Open Sans" panose="020B0606030504020204" pitchFamily="34" charset="0"/>
              <a:cs typeface="Open Sans" panose="020B0606030504020204" pitchFamily="34" charset="0"/>
            </a:endParaRPr>
          </a:p>
        </xdr:txBody>
      </xdr:sp>
      <xdr:sp macro="[0]!Button_Glossary" textlink="">
        <xdr:nvSpPr>
          <xdr:cNvPr id="60" name="Rectangle: Rounded Corners 59">
            <a:extLst>
              <a:ext uri="{FF2B5EF4-FFF2-40B4-BE49-F238E27FC236}">
                <a16:creationId xmlns:a16="http://schemas.microsoft.com/office/drawing/2014/main" id="{15BF97EA-A08A-1E87-AFEB-5E464EFCEDE4}"/>
              </a:ext>
            </a:extLst>
          </xdr:cNvPr>
          <xdr:cNvSpPr/>
        </xdr:nvSpPr>
        <xdr:spPr>
          <a:xfrm>
            <a:off x="9048750" y="3035367"/>
            <a:ext cx="1817688" cy="360000"/>
          </a:xfrm>
          <a:prstGeom prst="roundRect">
            <a:avLst/>
          </a:prstGeom>
          <a:solidFill>
            <a:srgbClr val="BFBFBF"/>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rPr>
              <a:t>GLOSSARY</a:t>
            </a:r>
          </a:p>
        </xdr:txBody>
      </xdr:sp>
      <xdr:sp macro="" textlink="">
        <xdr:nvSpPr>
          <xdr:cNvPr id="61" name="TextBox 60">
            <a:extLst>
              <a:ext uri="{FF2B5EF4-FFF2-40B4-BE49-F238E27FC236}">
                <a16:creationId xmlns:a16="http://schemas.microsoft.com/office/drawing/2014/main" id="{67B2C5A6-AD0C-BB12-D751-06711B7F634E}"/>
              </a:ext>
            </a:extLst>
          </xdr:cNvPr>
          <xdr:cNvSpPr txBox="1"/>
        </xdr:nvSpPr>
        <xdr:spPr>
          <a:xfrm>
            <a:off x="149102" y="3316946"/>
            <a:ext cx="1550563"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2D953E"/>
                </a:solidFill>
                <a:latin typeface="Open Sans" panose="020B0606030504020204" pitchFamily="34" charset="0"/>
                <a:ea typeface="Open Sans" panose="020B0606030504020204" pitchFamily="34" charset="0"/>
                <a:cs typeface="Open Sans" panose="020B0606030504020204" pitchFamily="34" charset="0"/>
              </a:rPr>
              <a:t>HOME</a:t>
            </a:r>
            <a:endParaRPr lang="en-IN" sz="1100">
              <a:solidFill>
                <a:srgbClr val="2D953E"/>
              </a:solidFill>
              <a:latin typeface="Open Sans" panose="020B0606030504020204" pitchFamily="34" charset="0"/>
              <a:ea typeface="Open Sans" panose="020B0606030504020204" pitchFamily="34" charset="0"/>
              <a:cs typeface="Open Sans" panose="020B0606030504020204" pitchFamily="34" charset="0"/>
            </a:endParaRPr>
          </a:p>
        </xdr:txBody>
      </xdr:sp>
      <xdr:sp macro="[0]!Button_Intro" textlink="">
        <xdr:nvSpPr>
          <xdr:cNvPr id="62" name="Oval 61">
            <a:extLst>
              <a:ext uri="{FF2B5EF4-FFF2-40B4-BE49-F238E27FC236}">
                <a16:creationId xmlns:a16="http://schemas.microsoft.com/office/drawing/2014/main" id="{3EE116FD-4B3E-B188-B826-3B64BC968341}"/>
              </a:ext>
            </a:extLst>
          </xdr:cNvPr>
          <xdr:cNvSpPr/>
        </xdr:nvSpPr>
        <xdr:spPr>
          <a:xfrm>
            <a:off x="744383" y="2852740"/>
            <a:ext cx="338447" cy="356928"/>
          </a:xfrm>
          <a:prstGeom prst="ellipse">
            <a:avLst/>
          </a:prstGeom>
          <a:solidFill>
            <a:srgbClr val="2D953E"/>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63" name="TextBox 62">
            <a:extLst>
              <a:ext uri="{FF2B5EF4-FFF2-40B4-BE49-F238E27FC236}">
                <a16:creationId xmlns:a16="http://schemas.microsoft.com/office/drawing/2014/main" id="{03E540BB-1884-643B-F64B-9A46A98A580E}"/>
              </a:ext>
            </a:extLst>
          </xdr:cNvPr>
          <xdr:cNvSpPr txBox="1"/>
        </xdr:nvSpPr>
        <xdr:spPr>
          <a:xfrm>
            <a:off x="2516795"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rPr>
              <a:t>GENERAL QUESTION</a:t>
            </a:r>
            <a:endParaRPr lang="en-IN" sz="1100">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9216" name="TextBox 9215">
            <a:extLst>
              <a:ext uri="{FF2B5EF4-FFF2-40B4-BE49-F238E27FC236}">
                <a16:creationId xmlns:a16="http://schemas.microsoft.com/office/drawing/2014/main" id="{312587A5-FE04-9F3B-F1C2-05A9A7BDA924}"/>
              </a:ext>
            </a:extLst>
          </xdr:cNvPr>
          <xdr:cNvSpPr txBox="1"/>
        </xdr:nvSpPr>
        <xdr:spPr>
          <a:xfrm>
            <a:off x="4838708"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rPr>
              <a:t>SELF-ASSESSMENT QUESTIONNAIRE</a:t>
            </a:r>
            <a:endParaRPr lang="en-IN" sz="1100">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9217" name="TextBox 9216">
            <a:extLst>
              <a:ext uri="{FF2B5EF4-FFF2-40B4-BE49-F238E27FC236}">
                <a16:creationId xmlns:a16="http://schemas.microsoft.com/office/drawing/2014/main" id="{AA9B3B29-55C5-FBF6-36D5-5E0A4A6C7A3B}"/>
              </a:ext>
            </a:extLst>
          </xdr:cNvPr>
          <xdr:cNvSpPr txBox="1"/>
        </xdr:nvSpPr>
        <xdr:spPr>
          <a:xfrm>
            <a:off x="7208380" y="3316946"/>
            <a:ext cx="1546882"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rPr>
              <a:t>PERFORMANCE</a:t>
            </a:r>
            <a:endParaRPr lang="en-IN" sz="1100">
              <a:solidFill>
                <a:schemeClr val="bg1">
                  <a:lumMod val="65000"/>
                </a:schemeClr>
              </a:solidFill>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9218" name="Oval 9217">
            <a:extLst>
              <a:ext uri="{FF2B5EF4-FFF2-40B4-BE49-F238E27FC236}">
                <a16:creationId xmlns:a16="http://schemas.microsoft.com/office/drawing/2014/main" id="{846B6FBC-EC1D-C176-ADA2-9598769F2B92}"/>
              </a:ext>
            </a:extLst>
          </xdr:cNvPr>
          <xdr:cNvSpPr/>
        </xdr:nvSpPr>
        <xdr:spPr>
          <a:xfrm>
            <a:off x="311397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9219" name="Oval 9218">
            <a:extLst>
              <a:ext uri="{FF2B5EF4-FFF2-40B4-BE49-F238E27FC236}">
                <a16:creationId xmlns:a16="http://schemas.microsoft.com/office/drawing/2014/main" id="{4619A9EB-AAED-97C3-9E1C-FE81A001EC13}"/>
              </a:ext>
            </a:extLst>
          </xdr:cNvPr>
          <xdr:cNvSpPr/>
        </xdr:nvSpPr>
        <xdr:spPr>
          <a:xfrm>
            <a:off x="543588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latin typeface="Open Sans" panose="020B0606030504020204" pitchFamily="34" charset="0"/>
              <a:ea typeface="Open Sans" panose="020B0606030504020204" pitchFamily="34" charset="0"/>
              <a:cs typeface="Open Sans" panose="020B0606030504020204" pitchFamily="34" charset="0"/>
            </a:endParaRPr>
          </a:p>
        </xdr:txBody>
      </xdr:sp>
      <xdr:sp macro="" textlink="">
        <xdr:nvSpPr>
          <xdr:cNvPr id="9220" name="Oval 9219">
            <a:extLst>
              <a:ext uri="{FF2B5EF4-FFF2-40B4-BE49-F238E27FC236}">
                <a16:creationId xmlns:a16="http://schemas.microsoft.com/office/drawing/2014/main" id="{BD288218-33CB-931B-419C-C22326ECCE96}"/>
              </a:ext>
            </a:extLst>
          </xdr:cNvPr>
          <xdr:cNvSpPr/>
        </xdr:nvSpPr>
        <xdr:spPr>
          <a:xfrm>
            <a:off x="7801821"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latin typeface="Open Sans" panose="020B0606030504020204" pitchFamily="34" charset="0"/>
              <a:ea typeface="Open Sans" panose="020B0606030504020204" pitchFamily="34" charset="0"/>
              <a:cs typeface="Open Sans" panose="020B0606030504020204" pitchFamily="34" charset="0"/>
            </a:endParaRPr>
          </a:p>
        </xdr:txBody>
      </xdr:sp>
    </xdr:grpSp>
    <xdr:clientData/>
  </xdr:twoCellAnchor>
  <xdr:twoCellAnchor>
    <xdr:from>
      <xdr:col>9</xdr:col>
      <xdr:colOff>209550</xdr:colOff>
      <xdr:row>66</xdr:row>
      <xdr:rowOff>152400</xdr:rowOff>
    </xdr:from>
    <xdr:to>
      <xdr:col>12</xdr:col>
      <xdr:colOff>70350</xdr:colOff>
      <xdr:row>68</xdr:row>
      <xdr:rowOff>54100</xdr:rowOff>
    </xdr:to>
    <xdr:sp macro="[0]!Button_Gen_Que" textlink="">
      <xdr:nvSpPr>
        <xdr:cNvPr id="3" name="nxt_fsa" hidden="1">
          <a:extLst>
            <a:ext uri="{FF2B5EF4-FFF2-40B4-BE49-F238E27FC236}">
              <a16:creationId xmlns:a16="http://schemas.microsoft.com/office/drawing/2014/main" id="{4D92724C-1F03-92D5-078A-7EE2DDF4472E}"/>
            </a:ext>
          </a:extLst>
        </xdr:cNvPr>
        <xdr:cNvSpPr/>
      </xdr:nvSpPr>
      <xdr:spPr>
        <a:xfrm>
          <a:off x="9740900" y="12185650"/>
          <a:ext cx="1080000" cy="270000"/>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mj-lt"/>
            </a:rPr>
            <a:t>NEXT</a:t>
          </a:r>
        </a:p>
      </xdr:txBody>
    </xdr:sp>
    <xdr:clientData/>
  </xdr:twoCellAnchor>
  <xdr:twoCellAnchor>
    <xdr:from>
      <xdr:col>9</xdr:col>
      <xdr:colOff>257027</xdr:colOff>
      <xdr:row>82</xdr:row>
      <xdr:rowOff>36735</xdr:rowOff>
    </xdr:from>
    <xdr:to>
      <xdr:col>12</xdr:col>
      <xdr:colOff>117827</xdr:colOff>
      <xdr:row>83</xdr:row>
      <xdr:rowOff>128342</xdr:rowOff>
    </xdr:to>
    <xdr:sp macro="[0]!Button_Gen_Que" textlink="">
      <xdr:nvSpPr>
        <xdr:cNvPr id="4" name="nxt_regen" hidden="1">
          <a:extLst>
            <a:ext uri="{FF2B5EF4-FFF2-40B4-BE49-F238E27FC236}">
              <a16:creationId xmlns:a16="http://schemas.microsoft.com/office/drawing/2014/main" id="{C8CB5670-DC4D-4740-A712-FA7493EC7F0C}"/>
            </a:ext>
          </a:extLst>
        </xdr:cNvPr>
        <xdr:cNvSpPr/>
      </xdr:nvSpPr>
      <xdr:spPr>
        <a:xfrm>
          <a:off x="11069831" y="14149165"/>
          <a:ext cx="2602575" cy="281513"/>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mj-lt"/>
            </a:rPr>
            <a:t>NEXT</a:t>
          </a:r>
        </a:p>
      </xdr:txBody>
    </xdr:sp>
    <xdr:clientData/>
  </xdr:twoCellAnchor>
  <xdr:twoCellAnchor>
    <xdr:from>
      <xdr:col>9</xdr:col>
      <xdr:colOff>209550</xdr:colOff>
      <xdr:row>69</xdr:row>
      <xdr:rowOff>120650</xdr:rowOff>
    </xdr:from>
    <xdr:to>
      <xdr:col>12</xdr:col>
      <xdr:colOff>70350</xdr:colOff>
      <xdr:row>71</xdr:row>
      <xdr:rowOff>22350</xdr:rowOff>
    </xdr:to>
    <xdr:sp macro="[0]!Button_Gen_Que" textlink="">
      <xdr:nvSpPr>
        <xdr:cNvPr id="5" name="nxt_csddd" hidden="1">
          <a:extLst>
            <a:ext uri="{FF2B5EF4-FFF2-40B4-BE49-F238E27FC236}">
              <a16:creationId xmlns:a16="http://schemas.microsoft.com/office/drawing/2014/main" id="{84D15964-A5A1-4FA2-AC52-4CDB74AC1296}"/>
            </a:ext>
          </a:extLst>
        </xdr:cNvPr>
        <xdr:cNvSpPr/>
      </xdr:nvSpPr>
      <xdr:spPr>
        <a:xfrm>
          <a:off x="9740900" y="12706350"/>
          <a:ext cx="1080000" cy="270000"/>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mj-lt"/>
            </a:rPr>
            <a:t>NEXT</a:t>
          </a:r>
        </a:p>
      </xdr:txBody>
    </xdr:sp>
    <xdr:clientData/>
  </xdr:twoCellAnchor>
  <xdr:twoCellAnchor>
    <xdr:from>
      <xdr:col>9</xdr:col>
      <xdr:colOff>192617</xdr:colOff>
      <xdr:row>84</xdr:row>
      <xdr:rowOff>14817</xdr:rowOff>
    </xdr:from>
    <xdr:to>
      <xdr:col>12</xdr:col>
      <xdr:colOff>53417</xdr:colOff>
      <xdr:row>85</xdr:row>
      <xdr:rowOff>100666</xdr:rowOff>
    </xdr:to>
    <xdr:sp macro="[0]!Button_Gen_Que" textlink="">
      <xdr:nvSpPr>
        <xdr:cNvPr id="7" name="nxt_regen_csddd">
          <a:extLst>
            <a:ext uri="{FF2B5EF4-FFF2-40B4-BE49-F238E27FC236}">
              <a16:creationId xmlns:a16="http://schemas.microsoft.com/office/drawing/2014/main" id="{D2F8453C-19A3-487C-AC01-A478CF1A1015}"/>
            </a:ext>
          </a:extLst>
        </xdr:cNvPr>
        <xdr:cNvSpPr/>
      </xdr:nvSpPr>
      <xdr:spPr>
        <a:xfrm>
          <a:off x="11029950" y="14238817"/>
          <a:ext cx="2604000" cy="272116"/>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Open Sans" panose="020B0606030504020204" pitchFamily="34" charset="0"/>
              <a:ea typeface="Open Sans" panose="020B0606030504020204" pitchFamily="34" charset="0"/>
              <a:cs typeface="Open Sans" panose="020B0606030504020204" pitchFamily="34" charset="0"/>
            </a:rPr>
            <a:t>NEXT</a:t>
          </a:r>
        </a:p>
      </xdr:txBody>
    </xdr:sp>
    <xdr:clientData/>
  </xdr:twoCellAnchor>
  <xdr:twoCellAnchor>
    <xdr:from>
      <xdr:col>6</xdr:col>
      <xdr:colOff>3078368</xdr:colOff>
      <xdr:row>8</xdr:row>
      <xdr:rowOff>163845</xdr:rowOff>
    </xdr:from>
    <xdr:to>
      <xdr:col>9</xdr:col>
      <xdr:colOff>664799</xdr:colOff>
      <xdr:row>10</xdr:row>
      <xdr:rowOff>162553</xdr:rowOff>
    </xdr:to>
    <xdr:sp macro="[0]!CB_Regen" textlink="">
      <xdr:nvSpPr>
        <xdr:cNvPr id="28" name="Rectangle: Rounded Corners 27">
          <a:extLst>
            <a:ext uri="{FF2B5EF4-FFF2-40B4-BE49-F238E27FC236}">
              <a16:creationId xmlns:a16="http://schemas.microsoft.com/office/drawing/2014/main" id="{0F1D4CE0-DBF9-BB1D-7998-8EA86AF1DCC3}"/>
            </a:ext>
          </a:extLst>
        </xdr:cNvPr>
        <xdr:cNvSpPr/>
      </xdr:nvSpPr>
      <xdr:spPr>
        <a:xfrm>
          <a:off x="9221303" y="1585693"/>
          <a:ext cx="2279909" cy="385230"/>
        </a:xfrm>
        <a:prstGeom prst="roundRect">
          <a:avLst/>
        </a:prstGeom>
        <a:solidFill>
          <a:srgbClr val="C00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kern="1200">
              <a:latin typeface="Open Sans" panose="020B0606030504020204" pitchFamily="34" charset="0"/>
              <a:ea typeface="Open Sans" panose="020B0606030504020204" pitchFamily="34" charset="0"/>
              <a:cs typeface="Open Sans" panose="020B0606030504020204" pitchFamily="34" charset="0"/>
            </a:rPr>
            <a:t>Regenerating</a:t>
          </a:r>
          <a:r>
            <a:rPr lang="en-IN" sz="1050" kern="1200" baseline="0">
              <a:latin typeface="Open Sans" panose="020B0606030504020204" pitchFamily="34" charset="0"/>
              <a:ea typeface="Open Sans" panose="020B0606030504020204" pitchFamily="34" charset="0"/>
              <a:cs typeface="Open Sans" panose="020B0606030504020204" pitchFamily="34" charset="0"/>
            </a:rPr>
            <a:t> Together</a:t>
          </a:r>
          <a:endParaRPr lang="en-IN" sz="1050" kern="1200">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10</xdr:col>
      <xdr:colOff>5371</xdr:colOff>
      <xdr:row>8</xdr:row>
      <xdr:rowOff>163845</xdr:rowOff>
    </xdr:from>
    <xdr:to>
      <xdr:col>11</xdr:col>
      <xdr:colOff>692179</xdr:colOff>
      <xdr:row>10</xdr:row>
      <xdr:rowOff>162553</xdr:rowOff>
    </xdr:to>
    <xdr:sp macro="[0]!CB_CSDDD" textlink="">
      <xdr:nvSpPr>
        <xdr:cNvPr id="33" name="Rectangle: Rounded Corners 32">
          <a:extLst>
            <a:ext uri="{FF2B5EF4-FFF2-40B4-BE49-F238E27FC236}">
              <a16:creationId xmlns:a16="http://schemas.microsoft.com/office/drawing/2014/main" id="{8124FFCC-C43B-CDA4-8AF5-74CA320B4A72}"/>
            </a:ext>
          </a:extLst>
        </xdr:cNvPr>
        <xdr:cNvSpPr/>
      </xdr:nvSpPr>
      <xdr:spPr>
        <a:xfrm>
          <a:off x="10689936" y="1530475"/>
          <a:ext cx="1639308" cy="371426"/>
        </a:xfrm>
        <a:prstGeom prst="roundRect">
          <a:avLst/>
        </a:prstGeom>
        <a:solidFill>
          <a:srgbClr val="C00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kern="1200">
              <a:latin typeface="Open Sans" panose="020B0606030504020204" pitchFamily="34" charset="0"/>
              <a:ea typeface="Open Sans" panose="020B0606030504020204" pitchFamily="34" charset="0"/>
              <a:cs typeface="Open Sans" panose="020B0606030504020204" pitchFamily="34" charset="0"/>
            </a:rPr>
            <a:t>Due</a:t>
          </a:r>
          <a:r>
            <a:rPr lang="en-IN" sz="1050" kern="1200" baseline="0">
              <a:latin typeface="Open Sans" panose="020B0606030504020204" pitchFamily="34" charset="0"/>
              <a:ea typeface="Open Sans" panose="020B0606030504020204" pitchFamily="34" charset="0"/>
              <a:cs typeface="Open Sans" panose="020B0606030504020204" pitchFamily="34" charset="0"/>
            </a:rPr>
            <a:t> Diligence</a:t>
          </a:r>
          <a:endParaRPr lang="en-IN" sz="1050" kern="1200">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xdr:from>
          <xdr:col>7</xdr:col>
          <xdr:colOff>69014</xdr:colOff>
          <xdr:row>9</xdr:row>
          <xdr:rowOff>41675</xdr:rowOff>
        </xdr:from>
        <xdr:to>
          <xdr:col>10</xdr:col>
          <xdr:colOff>366712</xdr:colOff>
          <xdr:row>10</xdr:row>
          <xdr:rowOff>91172</xdr:rowOff>
        </xdr:to>
        <xdr:grpSp>
          <xdr:nvGrpSpPr>
            <xdr:cNvPr id="10" name="Group 9">
              <a:extLst>
                <a:ext uri="{FF2B5EF4-FFF2-40B4-BE49-F238E27FC236}">
                  <a16:creationId xmlns:a16="http://schemas.microsoft.com/office/drawing/2014/main" id="{3ADB8DDC-42FB-C863-F325-172CCAB643C0}"/>
                </a:ext>
              </a:extLst>
            </xdr:cNvPr>
            <xdr:cNvGrpSpPr/>
          </xdr:nvGrpSpPr>
          <xdr:grpSpPr>
            <a:xfrm>
              <a:off x="8524039" y="1568850"/>
              <a:ext cx="3037723" cy="224122"/>
              <a:chOff x="6107111" y="1548360"/>
              <a:chExt cx="2586069" cy="228600"/>
            </a:xfrm>
          </xdr:grpSpPr>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100-000015240000}"/>
                  </a:ext>
                </a:extLst>
              </xdr:cNvPr>
              <xdr:cNvSpPr/>
            </xdr:nvSpPr>
            <xdr:spPr bwMode="auto">
              <a:xfrm>
                <a:off x="6107111" y="1548360"/>
                <a:ext cx="201165" cy="2286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100-000016240000}"/>
                  </a:ext>
                </a:extLst>
              </xdr:cNvPr>
              <xdr:cNvSpPr/>
            </xdr:nvSpPr>
            <xdr:spPr bwMode="auto">
              <a:xfrm>
                <a:off x="8484924" y="1548360"/>
                <a:ext cx="208256" cy="2286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93662</xdr:rowOff>
    </xdr:from>
    <xdr:to>
      <xdr:col>10</xdr:col>
      <xdr:colOff>286850</xdr:colOff>
      <xdr:row>5</xdr:row>
      <xdr:rowOff>22899</xdr:rowOff>
    </xdr:to>
    <xdr:grpSp>
      <xdr:nvGrpSpPr>
        <xdr:cNvPr id="2" name="Group 1">
          <a:extLst>
            <a:ext uri="{FF2B5EF4-FFF2-40B4-BE49-F238E27FC236}">
              <a16:creationId xmlns:a16="http://schemas.microsoft.com/office/drawing/2014/main" id="{8291922A-4117-4BBA-B421-CFEDF7C61033}"/>
            </a:ext>
          </a:extLst>
        </xdr:cNvPr>
        <xdr:cNvGrpSpPr/>
      </xdr:nvGrpSpPr>
      <xdr:grpSpPr>
        <a:xfrm>
          <a:off x="82550" y="93662"/>
          <a:ext cx="11472172" cy="1047040"/>
          <a:chOff x="110511" y="2799944"/>
          <a:chExt cx="10865095" cy="988443"/>
        </a:xfrm>
      </xdr:grpSpPr>
      <xdr:sp macro="" textlink="">
        <xdr:nvSpPr>
          <xdr:cNvPr id="3" name="Rectangle 2">
            <a:extLst>
              <a:ext uri="{FF2B5EF4-FFF2-40B4-BE49-F238E27FC236}">
                <a16:creationId xmlns:a16="http://schemas.microsoft.com/office/drawing/2014/main" id="{B3CFF3ED-A353-ABC5-AEFB-15DD62222E01}"/>
              </a:ext>
            </a:extLst>
          </xdr:cNvPr>
          <xdr:cNvSpPr/>
        </xdr:nvSpPr>
        <xdr:spPr>
          <a:xfrm>
            <a:off x="110511" y="2799944"/>
            <a:ext cx="10865095" cy="988443"/>
          </a:xfrm>
          <a:prstGeom prst="rect">
            <a:avLst/>
          </a:prstGeom>
          <a:solidFill>
            <a:schemeClr val="bg1"/>
          </a:solidFill>
          <a:ln w="12700">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5C0102A6-C8F8-6287-6608-DAA9AFEF5CBE}"/>
              </a:ext>
            </a:extLst>
          </xdr:cNvPr>
          <xdr:cNvSpPr/>
        </xdr:nvSpPr>
        <xdr:spPr>
          <a:xfrm>
            <a:off x="377738" y="3036959"/>
            <a:ext cx="8325670" cy="6890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Button_Glossary" textlink="">
        <xdr:nvSpPr>
          <xdr:cNvPr id="5" name="Rectangle: Rounded Corners 4">
            <a:extLst>
              <a:ext uri="{FF2B5EF4-FFF2-40B4-BE49-F238E27FC236}">
                <a16:creationId xmlns:a16="http://schemas.microsoft.com/office/drawing/2014/main" id="{FEB3D56C-68E6-5067-DDD4-07AC919B3D49}"/>
              </a:ext>
            </a:extLst>
          </xdr:cNvPr>
          <xdr:cNvSpPr/>
        </xdr:nvSpPr>
        <xdr:spPr>
          <a:xfrm>
            <a:off x="9048750" y="3035367"/>
            <a:ext cx="1817688" cy="360000"/>
          </a:xfrm>
          <a:prstGeom prst="roundRect">
            <a:avLst/>
          </a:prstGeom>
          <a:solidFill>
            <a:srgbClr val="BFBFBF"/>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solidFill>
                  <a:sysClr val="windowText" lastClr="000000"/>
                </a:solidFill>
              </a:rPr>
              <a:t>GLOSSARY</a:t>
            </a:r>
          </a:p>
        </xdr:txBody>
      </xdr:sp>
      <xdr:sp macro="" textlink="">
        <xdr:nvSpPr>
          <xdr:cNvPr id="6" name="TextBox 5">
            <a:extLst>
              <a:ext uri="{FF2B5EF4-FFF2-40B4-BE49-F238E27FC236}">
                <a16:creationId xmlns:a16="http://schemas.microsoft.com/office/drawing/2014/main" id="{422DC42B-1830-AC73-330D-48F41C18E744}"/>
              </a:ext>
            </a:extLst>
          </xdr:cNvPr>
          <xdr:cNvSpPr txBox="1"/>
        </xdr:nvSpPr>
        <xdr:spPr>
          <a:xfrm>
            <a:off x="149102" y="3316946"/>
            <a:ext cx="1550563"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BFBFBF"/>
                </a:solidFill>
              </a:rPr>
              <a:t>HOME</a:t>
            </a:r>
            <a:endParaRPr lang="en-IN" sz="1100">
              <a:solidFill>
                <a:srgbClr val="BFBFBF"/>
              </a:solidFill>
            </a:endParaRPr>
          </a:p>
        </xdr:txBody>
      </xdr:sp>
      <xdr:sp macro="[0]!Button_Intro" textlink="">
        <xdr:nvSpPr>
          <xdr:cNvPr id="7" name="Oval 6">
            <a:extLst>
              <a:ext uri="{FF2B5EF4-FFF2-40B4-BE49-F238E27FC236}">
                <a16:creationId xmlns:a16="http://schemas.microsoft.com/office/drawing/2014/main" id="{9B208EF5-13BF-5014-D42B-BC0424B6FCC3}"/>
              </a:ext>
            </a:extLst>
          </xdr:cNvPr>
          <xdr:cNvSpPr/>
        </xdr:nvSpPr>
        <xdr:spPr>
          <a:xfrm>
            <a:off x="744383"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9" name="TextBox 8">
            <a:extLst>
              <a:ext uri="{FF2B5EF4-FFF2-40B4-BE49-F238E27FC236}">
                <a16:creationId xmlns:a16="http://schemas.microsoft.com/office/drawing/2014/main" id="{98DA6FDC-06E1-91AF-B369-C37428FD1A17}"/>
              </a:ext>
            </a:extLst>
          </xdr:cNvPr>
          <xdr:cNvSpPr txBox="1"/>
        </xdr:nvSpPr>
        <xdr:spPr>
          <a:xfrm>
            <a:off x="2516795"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2D953E"/>
                </a:solidFill>
              </a:rPr>
              <a:t>GENERAL QUESTION</a:t>
            </a:r>
            <a:endParaRPr lang="en-IN" sz="1100">
              <a:solidFill>
                <a:srgbClr val="2D953E"/>
              </a:solidFill>
            </a:endParaRPr>
          </a:p>
        </xdr:txBody>
      </xdr:sp>
      <xdr:sp macro="" textlink="">
        <xdr:nvSpPr>
          <xdr:cNvPr id="10" name="TextBox 9">
            <a:extLst>
              <a:ext uri="{FF2B5EF4-FFF2-40B4-BE49-F238E27FC236}">
                <a16:creationId xmlns:a16="http://schemas.microsoft.com/office/drawing/2014/main" id="{CA51BF47-EEAB-9337-263D-8A697C4D599F}"/>
              </a:ext>
            </a:extLst>
          </xdr:cNvPr>
          <xdr:cNvSpPr txBox="1"/>
        </xdr:nvSpPr>
        <xdr:spPr>
          <a:xfrm>
            <a:off x="4838708"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SELF-ASSESSMENT QUESTIONNAIRE</a:t>
            </a:r>
            <a:endParaRPr lang="en-IN" sz="1100">
              <a:solidFill>
                <a:schemeClr val="bg1">
                  <a:lumMod val="65000"/>
                </a:schemeClr>
              </a:solidFill>
            </a:endParaRPr>
          </a:p>
        </xdr:txBody>
      </xdr:sp>
      <xdr:sp macro="" textlink="">
        <xdr:nvSpPr>
          <xdr:cNvPr id="11" name="TextBox 10">
            <a:extLst>
              <a:ext uri="{FF2B5EF4-FFF2-40B4-BE49-F238E27FC236}">
                <a16:creationId xmlns:a16="http://schemas.microsoft.com/office/drawing/2014/main" id="{07E932FA-7069-3CB9-64F6-F59BFFE9443A}"/>
              </a:ext>
            </a:extLst>
          </xdr:cNvPr>
          <xdr:cNvSpPr txBox="1"/>
        </xdr:nvSpPr>
        <xdr:spPr>
          <a:xfrm>
            <a:off x="7208380" y="3316946"/>
            <a:ext cx="1546882"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PERFORMANCE</a:t>
            </a:r>
            <a:endParaRPr lang="en-IN" sz="1100">
              <a:solidFill>
                <a:schemeClr val="bg1">
                  <a:lumMod val="65000"/>
                </a:schemeClr>
              </a:solidFill>
            </a:endParaRPr>
          </a:p>
        </xdr:txBody>
      </xdr:sp>
      <xdr:sp macro="[0]!Button_Gen_Que" textlink="">
        <xdr:nvSpPr>
          <xdr:cNvPr id="13" name="Oval 12">
            <a:extLst>
              <a:ext uri="{FF2B5EF4-FFF2-40B4-BE49-F238E27FC236}">
                <a16:creationId xmlns:a16="http://schemas.microsoft.com/office/drawing/2014/main" id="{46673D51-81E1-7AA9-AB4B-E6C3084D1B26}"/>
              </a:ext>
            </a:extLst>
          </xdr:cNvPr>
          <xdr:cNvSpPr/>
        </xdr:nvSpPr>
        <xdr:spPr>
          <a:xfrm>
            <a:off x="3113978" y="2852740"/>
            <a:ext cx="338447" cy="356928"/>
          </a:xfrm>
          <a:prstGeom prst="ellipse">
            <a:avLst/>
          </a:prstGeom>
          <a:solidFill>
            <a:srgbClr val="2D953E"/>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solidFill>
                <a:sysClr val="windowText" lastClr="000000"/>
              </a:solidFill>
            </a:endParaRPr>
          </a:p>
        </xdr:txBody>
      </xdr:sp>
      <xdr:sp macro="" textlink="">
        <xdr:nvSpPr>
          <xdr:cNvPr id="14" name="Oval 13">
            <a:extLst>
              <a:ext uri="{FF2B5EF4-FFF2-40B4-BE49-F238E27FC236}">
                <a16:creationId xmlns:a16="http://schemas.microsoft.com/office/drawing/2014/main" id="{57F380D7-E750-F7ED-8048-132C1F2B0142}"/>
              </a:ext>
            </a:extLst>
          </xdr:cNvPr>
          <xdr:cNvSpPr/>
        </xdr:nvSpPr>
        <xdr:spPr>
          <a:xfrm>
            <a:off x="543588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15" name="Oval 14">
            <a:extLst>
              <a:ext uri="{FF2B5EF4-FFF2-40B4-BE49-F238E27FC236}">
                <a16:creationId xmlns:a16="http://schemas.microsoft.com/office/drawing/2014/main" id="{D1863C07-3898-7226-68E7-9470EE785AF9}"/>
              </a:ext>
            </a:extLst>
          </xdr:cNvPr>
          <xdr:cNvSpPr/>
        </xdr:nvSpPr>
        <xdr:spPr>
          <a:xfrm>
            <a:off x="7801821"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7</xdr:col>
      <xdr:colOff>182553</xdr:colOff>
      <xdr:row>39</xdr:row>
      <xdr:rowOff>142911</xdr:rowOff>
    </xdr:from>
    <xdr:to>
      <xdr:col>7</xdr:col>
      <xdr:colOff>1265728</xdr:colOff>
      <xdr:row>40</xdr:row>
      <xdr:rowOff>195423</xdr:rowOff>
    </xdr:to>
    <xdr:sp macro="[0]!Button_Self_Assess" textlink="">
      <xdr:nvSpPr>
        <xdr:cNvPr id="22" name="nxt_genque" hidden="1">
          <a:extLst>
            <a:ext uri="{FF2B5EF4-FFF2-40B4-BE49-F238E27FC236}">
              <a16:creationId xmlns:a16="http://schemas.microsoft.com/office/drawing/2014/main" id="{C5F987A6-5E3F-4DB5-8AFD-D20E38B66712}"/>
            </a:ext>
          </a:extLst>
        </xdr:cNvPr>
        <xdr:cNvSpPr/>
      </xdr:nvSpPr>
      <xdr:spPr>
        <a:xfrm>
          <a:off x="8461366" y="8366161"/>
          <a:ext cx="1083175" cy="266825"/>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mj-lt"/>
            </a:rPr>
            <a:t>NEXT</a:t>
          </a:r>
        </a:p>
      </xdr:txBody>
    </xdr:sp>
    <xdr:clientData/>
  </xdr:twoCellAnchor>
  <xdr:twoCellAnchor>
    <xdr:from>
      <xdr:col>7</xdr:col>
      <xdr:colOff>207954</xdr:colOff>
      <xdr:row>63</xdr:row>
      <xdr:rowOff>160397</xdr:rowOff>
    </xdr:from>
    <xdr:to>
      <xdr:col>7</xdr:col>
      <xdr:colOff>1291129</xdr:colOff>
      <xdr:row>64</xdr:row>
      <xdr:rowOff>212909</xdr:rowOff>
    </xdr:to>
    <xdr:sp macro="[0]!Button_Self_Assess" textlink="">
      <xdr:nvSpPr>
        <xdr:cNvPr id="23" name="nxt_genque_regen">
          <a:extLst>
            <a:ext uri="{FF2B5EF4-FFF2-40B4-BE49-F238E27FC236}">
              <a16:creationId xmlns:a16="http://schemas.microsoft.com/office/drawing/2014/main" id="{2078F62A-DBED-4B7D-9126-8DF341485293}"/>
            </a:ext>
          </a:extLst>
        </xdr:cNvPr>
        <xdr:cNvSpPr/>
      </xdr:nvSpPr>
      <xdr:spPr>
        <a:xfrm>
          <a:off x="8486767" y="13352522"/>
          <a:ext cx="1083175" cy="266825"/>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kern="1200">
              <a:latin typeface="+mj-lt"/>
            </a:rPr>
            <a:t>NEXT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85515</xdr:colOff>
      <xdr:row>0</xdr:row>
      <xdr:rowOff>83583</xdr:rowOff>
    </xdr:from>
    <xdr:to>
      <xdr:col>13</xdr:col>
      <xdr:colOff>64390</xdr:colOff>
      <xdr:row>5</xdr:row>
      <xdr:rowOff>171570</xdr:rowOff>
    </xdr:to>
    <xdr:grpSp>
      <xdr:nvGrpSpPr>
        <xdr:cNvPr id="14" name="Group 13">
          <a:extLst>
            <a:ext uri="{FF2B5EF4-FFF2-40B4-BE49-F238E27FC236}">
              <a16:creationId xmlns:a16="http://schemas.microsoft.com/office/drawing/2014/main" id="{68EBBDA2-C169-4C18-A03F-A150DAE028BB}"/>
            </a:ext>
          </a:extLst>
        </xdr:cNvPr>
        <xdr:cNvGrpSpPr/>
      </xdr:nvGrpSpPr>
      <xdr:grpSpPr>
        <a:xfrm>
          <a:off x="88690" y="86758"/>
          <a:ext cx="13034475" cy="973812"/>
          <a:chOff x="103004" y="2784104"/>
          <a:chExt cx="10875692" cy="999838"/>
        </a:xfrm>
      </xdr:grpSpPr>
      <xdr:sp macro="" textlink="">
        <xdr:nvSpPr>
          <xdr:cNvPr id="15" name="Rectangle 14">
            <a:extLst>
              <a:ext uri="{FF2B5EF4-FFF2-40B4-BE49-F238E27FC236}">
                <a16:creationId xmlns:a16="http://schemas.microsoft.com/office/drawing/2014/main" id="{406168A8-BAE1-DFEF-76D2-2B2828D0ECBC}"/>
              </a:ext>
            </a:extLst>
          </xdr:cNvPr>
          <xdr:cNvSpPr/>
        </xdr:nvSpPr>
        <xdr:spPr>
          <a:xfrm>
            <a:off x="103004" y="2784104"/>
            <a:ext cx="10875692" cy="970760"/>
          </a:xfrm>
          <a:prstGeom prst="rect">
            <a:avLst/>
          </a:prstGeom>
          <a:solidFill>
            <a:schemeClr val="bg1"/>
          </a:solidFill>
          <a:ln w="12700">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C032AC5F-352F-3C8D-5047-C75D602BBC8A}"/>
              </a:ext>
            </a:extLst>
          </xdr:cNvPr>
          <xdr:cNvSpPr/>
        </xdr:nvSpPr>
        <xdr:spPr>
          <a:xfrm>
            <a:off x="377738" y="3036959"/>
            <a:ext cx="8325670" cy="6890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Button_Glossary" textlink="">
        <xdr:nvSpPr>
          <xdr:cNvPr id="17" name="Rectangle: Rounded Corners 16">
            <a:extLst>
              <a:ext uri="{FF2B5EF4-FFF2-40B4-BE49-F238E27FC236}">
                <a16:creationId xmlns:a16="http://schemas.microsoft.com/office/drawing/2014/main" id="{C4DF7AF2-E9A5-280B-BD2A-8502F5E68ABD}"/>
              </a:ext>
            </a:extLst>
          </xdr:cNvPr>
          <xdr:cNvSpPr/>
        </xdr:nvSpPr>
        <xdr:spPr>
          <a:xfrm>
            <a:off x="9048750" y="3035367"/>
            <a:ext cx="1817688" cy="360000"/>
          </a:xfrm>
          <a:prstGeom prst="roundRect">
            <a:avLst/>
          </a:prstGeom>
          <a:solidFill>
            <a:srgbClr val="BFBFBF"/>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solidFill>
                  <a:sysClr val="windowText" lastClr="000000"/>
                </a:solidFill>
              </a:rPr>
              <a:t>GLOSSARY</a:t>
            </a:r>
          </a:p>
        </xdr:txBody>
      </xdr:sp>
      <xdr:sp macro="" textlink="">
        <xdr:nvSpPr>
          <xdr:cNvPr id="18" name="TextBox 17">
            <a:extLst>
              <a:ext uri="{FF2B5EF4-FFF2-40B4-BE49-F238E27FC236}">
                <a16:creationId xmlns:a16="http://schemas.microsoft.com/office/drawing/2014/main" id="{B8C90632-8441-7757-5060-F0013633EB3F}"/>
              </a:ext>
            </a:extLst>
          </xdr:cNvPr>
          <xdr:cNvSpPr txBox="1"/>
        </xdr:nvSpPr>
        <xdr:spPr>
          <a:xfrm>
            <a:off x="149102" y="3316946"/>
            <a:ext cx="1550563"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BFBFBF"/>
                </a:solidFill>
              </a:rPr>
              <a:t>HOME</a:t>
            </a:r>
            <a:endParaRPr lang="en-IN" sz="1100">
              <a:solidFill>
                <a:srgbClr val="BFBFBF"/>
              </a:solidFill>
            </a:endParaRPr>
          </a:p>
        </xdr:txBody>
      </xdr:sp>
      <xdr:sp macro="[0]!Button_Intro" textlink="">
        <xdr:nvSpPr>
          <xdr:cNvPr id="19" name="Oval 18">
            <a:extLst>
              <a:ext uri="{FF2B5EF4-FFF2-40B4-BE49-F238E27FC236}">
                <a16:creationId xmlns:a16="http://schemas.microsoft.com/office/drawing/2014/main" id="{0E38D496-2FED-A52D-14AF-F52E40C49F3C}"/>
              </a:ext>
            </a:extLst>
          </xdr:cNvPr>
          <xdr:cNvSpPr/>
        </xdr:nvSpPr>
        <xdr:spPr>
          <a:xfrm>
            <a:off x="744383"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20" name="TextBox 19">
            <a:extLst>
              <a:ext uri="{FF2B5EF4-FFF2-40B4-BE49-F238E27FC236}">
                <a16:creationId xmlns:a16="http://schemas.microsoft.com/office/drawing/2014/main" id="{A92F5D0A-0C56-442A-C7D5-52E74302640B}"/>
              </a:ext>
            </a:extLst>
          </xdr:cNvPr>
          <xdr:cNvSpPr txBox="1"/>
        </xdr:nvSpPr>
        <xdr:spPr>
          <a:xfrm>
            <a:off x="2516795"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GENERAL QUESTION</a:t>
            </a:r>
            <a:endParaRPr lang="en-IN" sz="1100">
              <a:solidFill>
                <a:schemeClr val="bg1">
                  <a:lumMod val="65000"/>
                </a:schemeClr>
              </a:solidFill>
            </a:endParaRPr>
          </a:p>
        </xdr:txBody>
      </xdr:sp>
      <xdr:sp macro="" textlink="">
        <xdr:nvSpPr>
          <xdr:cNvPr id="21" name="TextBox 20">
            <a:extLst>
              <a:ext uri="{FF2B5EF4-FFF2-40B4-BE49-F238E27FC236}">
                <a16:creationId xmlns:a16="http://schemas.microsoft.com/office/drawing/2014/main" id="{49942A0F-8800-624D-8EFB-56A04AC82E8A}"/>
              </a:ext>
            </a:extLst>
          </xdr:cNvPr>
          <xdr:cNvSpPr txBox="1"/>
        </xdr:nvSpPr>
        <xdr:spPr>
          <a:xfrm>
            <a:off x="4838708"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2D953E"/>
                </a:solidFill>
              </a:rPr>
              <a:t>SELF-ASSESSMENT QUESTIONNAIRE</a:t>
            </a:r>
            <a:endParaRPr lang="en-IN" sz="1100">
              <a:solidFill>
                <a:srgbClr val="2D953E"/>
              </a:solidFill>
            </a:endParaRPr>
          </a:p>
        </xdr:txBody>
      </xdr:sp>
      <xdr:sp macro="" textlink="">
        <xdr:nvSpPr>
          <xdr:cNvPr id="22" name="TextBox 21">
            <a:extLst>
              <a:ext uri="{FF2B5EF4-FFF2-40B4-BE49-F238E27FC236}">
                <a16:creationId xmlns:a16="http://schemas.microsoft.com/office/drawing/2014/main" id="{1073F197-F32B-75A4-BEBB-5969D7820CED}"/>
              </a:ext>
            </a:extLst>
          </xdr:cNvPr>
          <xdr:cNvSpPr txBox="1"/>
        </xdr:nvSpPr>
        <xdr:spPr>
          <a:xfrm>
            <a:off x="7208380" y="3316946"/>
            <a:ext cx="1546882"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PERFORMANCE</a:t>
            </a:r>
            <a:endParaRPr lang="en-IN" sz="1100">
              <a:solidFill>
                <a:schemeClr val="bg1">
                  <a:lumMod val="65000"/>
                </a:schemeClr>
              </a:solidFill>
            </a:endParaRPr>
          </a:p>
        </xdr:txBody>
      </xdr:sp>
      <xdr:sp macro="[0]!Button_Gen_Que" textlink="">
        <xdr:nvSpPr>
          <xdr:cNvPr id="23" name="Oval 22">
            <a:extLst>
              <a:ext uri="{FF2B5EF4-FFF2-40B4-BE49-F238E27FC236}">
                <a16:creationId xmlns:a16="http://schemas.microsoft.com/office/drawing/2014/main" id="{CA4E0C0E-5578-122E-737D-34D8C21024E0}"/>
              </a:ext>
            </a:extLst>
          </xdr:cNvPr>
          <xdr:cNvSpPr/>
        </xdr:nvSpPr>
        <xdr:spPr>
          <a:xfrm>
            <a:off x="311397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solidFill>
                <a:sysClr val="windowText" lastClr="000000"/>
              </a:solidFill>
            </a:endParaRPr>
          </a:p>
        </xdr:txBody>
      </xdr:sp>
      <xdr:sp macro="[0]!Button_Self_Assess" textlink="">
        <xdr:nvSpPr>
          <xdr:cNvPr id="24" name="Oval 23">
            <a:extLst>
              <a:ext uri="{FF2B5EF4-FFF2-40B4-BE49-F238E27FC236}">
                <a16:creationId xmlns:a16="http://schemas.microsoft.com/office/drawing/2014/main" id="{18E168A4-A980-9CAF-1BB3-40D6E00871F8}"/>
              </a:ext>
            </a:extLst>
          </xdr:cNvPr>
          <xdr:cNvSpPr/>
        </xdr:nvSpPr>
        <xdr:spPr>
          <a:xfrm>
            <a:off x="5435888" y="2852740"/>
            <a:ext cx="338447" cy="356928"/>
          </a:xfrm>
          <a:prstGeom prst="ellipse">
            <a:avLst/>
          </a:prstGeom>
          <a:solidFill>
            <a:srgbClr val="2D953E"/>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25" name="Oval 24">
            <a:extLst>
              <a:ext uri="{FF2B5EF4-FFF2-40B4-BE49-F238E27FC236}">
                <a16:creationId xmlns:a16="http://schemas.microsoft.com/office/drawing/2014/main" id="{B852E8A6-2C5D-27F9-8B8B-195559F049B2}"/>
              </a:ext>
            </a:extLst>
          </xdr:cNvPr>
          <xdr:cNvSpPr/>
        </xdr:nvSpPr>
        <xdr:spPr>
          <a:xfrm>
            <a:off x="7801821"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200026</xdr:colOff>
      <xdr:row>0</xdr:row>
      <xdr:rowOff>101600</xdr:rowOff>
    </xdr:from>
    <xdr:to>
      <xdr:col>1</xdr:col>
      <xdr:colOff>333375</xdr:colOff>
      <xdr:row>0</xdr:row>
      <xdr:rowOff>523875</xdr:rowOff>
    </xdr:to>
    <xdr:pic>
      <xdr:nvPicPr>
        <xdr:cNvPr id="2" name="Imagem 1">
          <a:extLst>
            <a:ext uri="{FF2B5EF4-FFF2-40B4-BE49-F238E27FC236}">
              <a16:creationId xmlns:a16="http://schemas.microsoft.com/office/drawing/2014/main" id="{855C2077-9C71-4FBE-969D-562780FA7E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6" y="101600"/>
          <a:ext cx="568324" cy="419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511117</xdr:colOff>
      <xdr:row>0</xdr:row>
      <xdr:rowOff>0</xdr:rowOff>
    </xdr:from>
    <xdr:to>
      <xdr:col>20</xdr:col>
      <xdr:colOff>730766</xdr:colOff>
      <xdr:row>17</xdr:row>
      <xdr:rowOff>132347</xdr:rowOff>
    </xdr:to>
    <xdr:pic>
      <xdr:nvPicPr>
        <xdr:cNvPr id="2" name="Picture 1">
          <a:extLst>
            <a:ext uri="{FF2B5EF4-FFF2-40B4-BE49-F238E27FC236}">
              <a16:creationId xmlns:a16="http://schemas.microsoft.com/office/drawing/2014/main" id="{92C6C7F1-C943-4F77-90DD-78292786FBE2}"/>
            </a:ext>
          </a:extLst>
        </xdr:cNvPr>
        <xdr:cNvPicPr>
          <a:picLocks noChangeAspect="1"/>
        </xdr:cNvPicPr>
      </xdr:nvPicPr>
      <xdr:blipFill>
        <a:blip xmlns:r="http://schemas.openxmlformats.org/officeDocument/2006/relationships" r:embed="rId1"/>
        <a:stretch>
          <a:fillRect/>
        </a:stretch>
      </xdr:blipFill>
      <xdr:spPr>
        <a:xfrm>
          <a:off x="12175064" y="0"/>
          <a:ext cx="10056578" cy="491155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298450</xdr:colOff>
      <xdr:row>11</xdr:row>
      <xdr:rowOff>170330</xdr:rowOff>
    </xdr:from>
    <xdr:to>
      <xdr:col>16</xdr:col>
      <xdr:colOff>105507</xdr:colOff>
      <xdr:row>15</xdr:row>
      <xdr:rowOff>104309</xdr:rowOff>
    </xdr:to>
    <xdr:graphicFrame macro="">
      <xdr:nvGraphicFramePr>
        <xdr:cNvPr id="14" name="Diagramm 3">
          <a:extLst>
            <a:ext uri="{FF2B5EF4-FFF2-40B4-BE49-F238E27FC236}">
              <a16:creationId xmlns:a16="http://schemas.microsoft.com/office/drawing/2014/main" id="{B10016BB-B375-48BF-9BFE-736A68453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412264</xdr:colOff>
      <xdr:row>26</xdr:row>
      <xdr:rowOff>0</xdr:rowOff>
    </xdr:from>
    <xdr:to>
      <xdr:col>6</xdr:col>
      <xdr:colOff>58138</xdr:colOff>
      <xdr:row>28</xdr:row>
      <xdr:rowOff>235469</xdr:rowOff>
    </xdr:to>
    <xdr:graphicFrame macro="">
      <xdr:nvGraphicFramePr>
        <xdr:cNvPr id="16" name="Diagramm 4">
          <a:extLst>
            <a:ext uri="{FF2B5EF4-FFF2-40B4-BE49-F238E27FC236}">
              <a16:creationId xmlns:a16="http://schemas.microsoft.com/office/drawing/2014/main" id="{B51A8C6A-0459-4F89-B67D-6A4DA237A3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412264</xdr:colOff>
      <xdr:row>31</xdr:row>
      <xdr:rowOff>8120</xdr:rowOff>
    </xdr:from>
    <xdr:to>
      <xdr:col>6</xdr:col>
      <xdr:colOff>58138</xdr:colOff>
      <xdr:row>33</xdr:row>
      <xdr:rowOff>243025</xdr:rowOff>
    </xdr:to>
    <xdr:graphicFrame macro="">
      <xdr:nvGraphicFramePr>
        <xdr:cNvPr id="17" name="Diagramm 11">
          <a:extLst>
            <a:ext uri="{FF2B5EF4-FFF2-40B4-BE49-F238E27FC236}">
              <a16:creationId xmlns:a16="http://schemas.microsoft.com/office/drawing/2014/main" id="{542EDF37-384C-4634-89BD-95FC2CCE4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417306</xdr:colOff>
      <xdr:row>36</xdr:row>
      <xdr:rowOff>4526</xdr:rowOff>
    </xdr:from>
    <xdr:to>
      <xdr:col>6</xdr:col>
      <xdr:colOff>58138</xdr:colOff>
      <xdr:row>39</xdr:row>
      <xdr:rowOff>2875</xdr:rowOff>
    </xdr:to>
    <xdr:graphicFrame macro="">
      <xdr:nvGraphicFramePr>
        <xdr:cNvPr id="18" name="Diagramm 12">
          <a:extLst>
            <a:ext uri="{FF2B5EF4-FFF2-40B4-BE49-F238E27FC236}">
              <a16:creationId xmlns:a16="http://schemas.microsoft.com/office/drawing/2014/main" id="{9287C619-3B7E-4F75-828B-396CFDBA8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417306</xdr:colOff>
      <xdr:row>41</xdr:row>
      <xdr:rowOff>0</xdr:rowOff>
    </xdr:from>
    <xdr:to>
      <xdr:col>6</xdr:col>
      <xdr:colOff>58138</xdr:colOff>
      <xdr:row>43</xdr:row>
      <xdr:rowOff>244878</xdr:rowOff>
    </xdr:to>
    <xdr:graphicFrame macro="">
      <xdr:nvGraphicFramePr>
        <xdr:cNvPr id="19" name="Diagramm 13">
          <a:extLst>
            <a:ext uri="{FF2B5EF4-FFF2-40B4-BE49-F238E27FC236}">
              <a16:creationId xmlns:a16="http://schemas.microsoft.com/office/drawing/2014/main" id="{0BE180F1-F24F-40CC-A6FD-CA4CA543F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494128</xdr:colOff>
      <xdr:row>26</xdr:row>
      <xdr:rowOff>0</xdr:rowOff>
    </xdr:from>
    <xdr:to>
      <xdr:col>12</xdr:col>
      <xdr:colOff>134286</xdr:colOff>
      <xdr:row>29</xdr:row>
      <xdr:rowOff>2948</xdr:rowOff>
    </xdr:to>
    <xdr:graphicFrame macro="">
      <xdr:nvGraphicFramePr>
        <xdr:cNvPr id="20" name="Diagramm 14">
          <a:extLst>
            <a:ext uri="{FF2B5EF4-FFF2-40B4-BE49-F238E27FC236}">
              <a16:creationId xmlns:a16="http://schemas.microsoft.com/office/drawing/2014/main" id="{7C139EC3-7F57-4043-BCA1-1B95944689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501075</xdr:colOff>
      <xdr:row>41</xdr:row>
      <xdr:rowOff>7956</xdr:rowOff>
    </xdr:from>
    <xdr:to>
      <xdr:col>12</xdr:col>
      <xdr:colOff>134286</xdr:colOff>
      <xdr:row>43</xdr:row>
      <xdr:rowOff>236921</xdr:rowOff>
    </xdr:to>
    <xdr:graphicFrame macro="">
      <xdr:nvGraphicFramePr>
        <xdr:cNvPr id="21" name="Diagramm 17">
          <a:extLst>
            <a:ext uri="{FF2B5EF4-FFF2-40B4-BE49-F238E27FC236}">
              <a16:creationId xmlns:a16="http://schemas.microsoft.com/office/drawing/2014/main" id="{4C701D8B-CDA6-4FF5-B0ED-22E2F40D1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478888</xdr:colOff>
      <xdr:row>31</xdr:row>
      <xdr:rowOff>834</xdr:rowOff>
    </xdr:from>
    <xdr:to>
      <xdr:col>12</xdr:col>
      <xdr:colOff>130476</xdr:colOff>
      <xdr:row>34</xdr:row>
      <xdr:rowOff>3782</xdr:rowOff>
    </xdr:to>
    <xdr:graphicFrame macro="">
      <xdr:nvGraphicFramePr>
        <xdr:cNvPr id="22" name="Diagramm 19">
          <a:extLst>
            <a:ext uri="{FF2B5EF4-FFF2-40B4-BE49-F238E27FC236}">
              <a16:creationId xmlns:a16="http://schemas.microsoft.com/office/drawing/2014/main" id="{45E5F16C-60AF-4247-AF90-6890C4B66A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483929</xdr:colOff>
      <xdr:row>35</xdr:row>
      <xdr:rowOff>213335</xdr:rowOff>
    </xdr:from>
    <xdr:to>
      <xdr:col>12</xdr:col>
      <xdr:colOff>130476</xdr:colOff>
      <xdr:row>38</xdr:row>
      <xdr:rowOff>217400</xdr:rowOff>
    </xdr:to>
    <xdr:graphicFrame macro="">
      <xdr:nvGraphicFramePr>
        <xdr:cNvPr id="23" name="Diagramm 20">
          <a:extLst>
            <a:ext uri="{FF2B5EF4-FFF2-40B4-BE49-F238E27FC236}">
              <a16:creationId xmlns:a16="http://schemas.microsoft.com/office/drawing/2014/main" id="{D2C31239-CEE4-425A-A7AA-E27897986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502952</xdr:colOff>
      <xdr:row>26</xdr:row>
      <xdr:rowOff>0</xdr:rowOff>
    </xdr:from>
    <xdr:to>
      <xdr:col>18</xdr:col>
      <xdr:colOff>139300</xdr:colOff>
      <xdr:row>29</xdr:row>
      <xdr:rowOff>2948</xdr:rowOff>
    </xdr:to>
    <xdr:graphicFrame macro="">
      <xdr:nvGraphicFramePr>
        <xdr:cNvPr id="24" name="Diagramm 21">
          <a:extLst>
            <a:ext uri="{FF2B5EF4-FFF2-40B4-BE49-F238E27FC236}">
              <a16:creationId xmlns:a16="http://schemas.microsoft.com/office/drawing/2014/main" id="{640E3339-CDA3-4ED4-84E5-EF91A5EDF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502279</xdr:colOff>
      <xdr:row>41</xdr:row>
      <xdr:rowOff>7956</xdr:rowOff>
    </xdr:from>
    <xdr:to>
      <xdr:col>18</xdr:col>
      <xdr:colOff>139300</xdr:colOff>
      <xdr:row>43</xdr:row>
      <xdr:rowOff>236921</xdr:rowOff>
    </xdr:to>
    <xdr:graphicFrame macro="">
      <xdr:nvGraphicFramePr>
        <xdr:cNvPr id="25" name="Diagramm 22">
          <a:extLst>
            <a:ext uri="{FF2B5EF4-FFF2-40B4-BE49-F238E27FC236}">
              <a16:creationId xmlns:a16="http://schemas.microsoft.com/office/drawing/2014/main" id="{F8DB5F12-CFEF-4642-A39E-5ECD2116C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510572</xdr:colOff>
      <xdr:row>31</xdr:row>
      <xdr:rowOff>834</xdr:rowOff>
    </xdr:from>
    <xdr:to>
      <xdr:col>18</xdr:col>
      <xdr:colOff>135490</xdr:colOff>
      <xdr:row>34</xdr:row>
      <xdr:rowOff>3782</xdr:rowOff>
    </xdr:to>
    <xdr:graphicFrame macro="">
      <xdr:nvGraphicFramePr>
        <xdr:cNvPr id="26" name="Diagramm 23">
          <a:extLst>
            <a:ext uri="{FF2B5EF4-FFF2-40B4-BE49-F238E27FC236}">
              <a16:creationId xmlns:a16="http://schemas.microsoft.com/office/drawing/2014/main" id="{EFD3D573-D9BA-4766-BCAE-6E747016A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515613</xdr:colOff>
      <xdr:row>36</xdr:row>
      <xdr:rowOff>1668</xdr:rowOff>
    </xdr:from>
    <xdr:to>
      <xdr:col>18</xdr:col>
      <xdr:colOff>135490</xdr:colOff>
      <xdr:row>39</xdr:row>
      <xdr:rowOff>5732</xdr:rowOff>
    </xdr:to>
    <xdr:graphicFrame macro="">
      <xdr:nvGraphicFramePr>
        <xdr:cNvPr id="27" name="Diagramm 24">
          <a:extLst>
            <a:ext uri="{FF2B5EF4-FFF2-40B4-BE49-F238E27FC236}">
              <a16:creationId xmlns:a16="http://schemas.microsoft.com/office/drawing/2014/main" id="{ED2801DC-7C64-4997-8AF5-E610BED8EE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425452</xdr:colOff>
      <xdr:row>7</xdr:row>
      <xdr:rowOff>65153</xdr:rowOff>
    </xdr:from>
    <xdr:to>
      <xdr:col>21</xdr:col>
      <xdr:colOff>271396</xdr:colOff>
      <xdr:row>11</xdr:row>
      <xdr:rowOff>13666</xdr:rowOff>
    </xdr:to>
    <xdr:pic>
      <xdr:nvPicPr>
        <xdr:cNvPr id="28" name="Grafik 5">
          <a:extLst>
            <a:ext uri="{FF2B5EF4-FFF2-40B4-BE49-F238E27FC236}">
              <a16:creationId xmlns:a16="http://schemas.microsoft.com/office/drawing/2014/main" id="{63F777C1-A0F0-409A-B521-379E074D99AD}"/>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743397" y="1317756"/>
          <a:ext cx="1063752" cy="844472"/>
        </a:xfrm>
        <a:prstGeom prst="rect">
          <a:avLst/>
        </a:prstGeom>
      </xdr:spPr>
    </xdr:pic>
    <xdr:clientData/>
  </xdr:twoCellAnchor>
  <xdr:twoCellAnchor>
    <xdr:from>
      <xdr:col>6</xdr:col>
      <xdr:colOff>95986</xdr:colOff>
      <xdr:row>11</xdr:row>
      <xdr:rowOff>84989</xdr:rowOff>
    </xdr:from>
    <xdr:to>
      <xdr:col>16</xdr:col>
      <xdr:colOff>524932</xdr:colOff>
      <xdr:row>15</xdr:row>
      <xdr:rowOff>89348</xdr:rowOff>
    </xdr:to>
    <xdr:graphicFrame macro="">
      <xdr:nvGraphicFramePr>
        <xdr:cNvPr id="15" name="Diagramm 1">
          <a:extLst>
            <a:ext uri="{FF2B5EF4-FFF2-40B4-BE49-F238E27FC236}">
              <a16:creationId xmlns:a16="http://schemas.microsoft.com/office/drawing/2014/main" id="{3D5CEA5F-2556-444F-85F3-063B02CF0F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494128</xdr:colOff>
      <xdr:row>31</xdr:row>
      <xdr:rowOff>0</xdr:rowOff>
    </xdr:from>
    <xdr:to>
      <xdr:col>12</xdr:col>
      <xdr:colOff>134286</xdr:colOff>
      <xdr:row>34</xdr:row>
      <xdr:rowOff>2948</xdr:rowOff>
    </xdr:to>
    <xdr:graphicFrame macro="">
      <xdr:nvGraphicFramePr>
        <xdr:cNvPr id="29" name="Diagramm 14">
          <a:extLst>
            <a:ext uri="{FF2B5EF4-FFF2-40B4-BE49-F238E27FC236}">
              <a16:creationId xmlns:a16="http://schemas.microsoft.com/office/drawing/2014/main" id="{EF4208B9-C737-41C0-8F5E-A311FC008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494128</xdr:colOff>
      <xdr:row>41</xdr:row>
      <xdr:rowOff>0</xdr:rowOff>
    </xdr:from>
    <xdr:to>
      <xdr:col>12</xdr:col>
      <xdr:colOff>134286</xdr:colOff>
      <xdr:row>44</xdr:row>
      <xdr:rowOff>2948</xdr:rowOff>
    </xdr:to>
    <xdr:graphicFrame macro="">
      <xdr:nvGraphicFramePr>
        <xdr:cNvPr id="31" name="Diagramm 14">
          <a:extLst>
            <a:ext uri="{FF2B5EF4-FFF2-40B4-BE49-F238E27FC236}">
              <a16:creationId xmlns:a16="http://schemas.microsoft.com/office/drawing/2014/main" id="{B6D9B7C2-92CE-4182-B3B0-91BCF85E52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502952</xdr:colOff>
      <xdr:row>31</xdr:row>
      <xdr:rowOff>0</xdr:rowOff>
    </xdr:from>
    <xdr:to>
      <xdr:col>18</xdr:col>
      <xdr:colOff>139300</xdr:colOff>
      <xdr:row>34</xdr:row>
      <xdr:rowOff>2948</xdr:rowOff>
    </xdr:to>
    <xdr:graphicFrame macro="">
      <xdr:nvGraphicFramePr>
        <xdr:cNvPr id="32" name="Diagramm 21">
          <a:extLst>
            <a:ext uri="{FF2B5EF4-FFF2-40B4-BE49-F238E27FC236}">
              <a16:creationId xmlns:a16="http://schemas.microsoft.com/office/drawing/2014/main" id="{A13B519E-705E-421F-A39B-1E70E05738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502952</xdr:colOff>
      <xdr:row>36</xdr:row>
      <xdr:rowOff>0</xdr:rowOff>
    </xdr:from>
    <xdr:to>
      <xdr:col>18</xdr:col>
      <xdr:colOff>139300</xdr:colOff>
      <xdr:row>39</xdr:row>
      <xdr:rowOff>2948</xdr:rowOff>
    </xdr:to>
    <xdr:graphicFrame macro="">
      <xdr:nvGraphicFramePr>
        <xdr:cNvPr id="33" name="Diagramm 21">
          <a:extLst>
            <a:ext uri="{FF2B5EF4-FFF2-40B4-BE49-F238E27FC236}">
              <a16:creationId xmlns:a16="http://schemas.microsoft.com/office/drawing/2014/main" id="{81BD6D33-D5E5-42CD-8FA0-84BF71095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510572</xdr:colOff>
      <xdr:row>36</xdr:row>
      <xdr:rowOff>834</xdr:rowOff>
    </xdr:from>
    <xdr:to>
      <xdr:col>18</xdr:col>
      <xdr:colOff>135490</xdr:colOff>
      <xdr:row>39</xdr:row>
      <xdr:rowOff>3782</xdr:rowOff>
    </xdr:to>
    <xdr:graphicFrame macro="">
      <xdr:nvGraphicFramePr>
        <xdr:cNvPr id="34" name="Diagramm 23">
          <a:extLst>
            <a:ext uri="{FF2B5EF4-FFF2-40B4-BE49-F238E27FC236}">
              <a16:creationId xmlns:a16="http://schemas.microsoft.com/office/drawing/2014/main" id="{202555B6-C0D7-4886-A31A-BE1D8D279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502952</xdr:colOff>
      <xdr:row>36</xdr:row>
      <xdr:rowOff>0</xdr:rowOff>
    </xdr:from>
    <xdr:to>
      <xdr:col>18</xdr:col>
      <xdr:colOff>139300</xdr:colOff>
      <xdr:row>39</xdr:row>
      <xdr:rowOff>2948</xdr:rowOff>
    </xdr:to>
    <xdr:graphicFrame macro="">
      <xdr:nvGraphicFramePr>
        <xdr:cNvPr id="35" name="Diagramm 21">
          <a:extLst>
            <a:ext uri="{FF2B5EF4-FFF2-40B4-BE49-F238E27FC236}">
              <a16:creationId xmlns:a16="http://schemas.microsoft.com/office/drawing/2014/main" id="{89AAFDE0-9930-4767-B396-EE8DC6FA50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50605</xdr:colOff>
      <xdr:row>1</xdr:row>
      <xdr:rowOff>36322</xdr:rowOff>
    </xdr:from>
    <xdr:to>
      <xdr:col>15</xdr:col>
      <xdr:colOff>378730</xdr:colOff>
      <xdr:row>6</xdr:row>
      <xdr:rowOff>44934</xdr:rowOff>
    </xdr:to>
    <xdr:grpSp>
      <xdr:nvGrpSpPr>
        <xdr:cNvPr id="2" name="Group 1">
          <a:extLst>
            <a:ext uri="{FF2B5EF4-FFF2-40B4-BE49-F238E27FC236}">
              <a16:creationId xmlns:a16="http://schemas.microsoft.com/office/drawing/2014/main" id="{D5FE57FB-DE32-4488-B154-6E89BE3715CC}"/>
            </a:ext>
          </a:extLst>
        </xdr:cNvPr>
        <xdr:cNvGrpSpPr/>
      </xdr:nvGrpSpPr>
      <xdr:grpSpPr>
        <a:xfrm>
          <a:off x="72830" y="87122"/>
          <a:ext cx="11545400" cy="1027787"/>
          <a:chOff x="103004" y="2784104"/>
          <a:chExt cx="10875692" cy="999838"/>
        </a:xfrm>
      </xdr:grpSpPr>
      <xdr:sp macro="" textlink="">
        <xdr:nvSpPr>
          <xdr:cNvPr id="3" name="Rectangle 2">
            <a:extLst>
              <a:ext uri="{FF2B5EF4-FFF2-40B4-BE49-F238E27FC236}">
                <a16:creationId xmlns:a16="http://schemas.microsoft.com/office/drawing/2014/main" id="{BE995AFE-4DEA-21B8-F054-37AC5B9D8A4E}"/>
              </a:ext>
            </a:extLst>
          </xdr:cNvPr>
          <xdr:cNvSpPr/>
        </xdr:nvSpPr>
        <xdr:spPr>
          <a:xfrm>
            <a:off x="103004" y="2784104"/>
            <a:ext cx="10875692" cy="983324"/>
          </a:xfrm>
          <a:prstGeom prst="rect">
            <a:avLst/>
          </a:prstGeom>
          <a:solidFill>
            <a:schemeClr val="bg1"/>
          </a:solidFill>
          <a:ln w="12700">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98AB2F74-D796-6FE4-475B-82C75C03A5CC}"/>
              </a:ext>
            </a:extLst>
          </xdr:cNvPr>
          <xdr:cNvSpPr/>
        </xdr:nvSpPr>
        <xdr:spPr>
          <a:xfrm>
            <a:off x="377738" y="3036959"/>
            <a:ext cx="8325670" cy="6890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Button_Glossary" textlink="">
        <xdr:nvSpPr>
          <xdr:cNvPr id="5" name="Rectangle: Rounded Corners 4">
            <a:extLst>
              <a:ext uri="{FF2B5EF4-FFF2-40B4-BE49-F238E27FC236}">
                <a16:creationId xmlns:a16="http://schemas.microsoft.com/office/drawing/2014/main" id="{5483FF9A-DF5F-EAFE-BE9D-909A08EAFF4E}"/>
              </a:ext>
            </a:extLst>
          </xdr:cNvPr>
          <xdr:cNvSpPr/>
        </xdr:nvSpPr>
        <xdr:spPr>
          <a:xfrm>
            <a:off x="9048750" y="3035367"/>
            <a:ext cx="1817688" cy="360000"/>
          </a:xfrm>
          <a:prstGeom prst="roundRect">
            <a:avLst/>
          </a:prstGeom>
          <a:solidFill>
            <a:srgbClr val="BFBFBF"/>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solidFill>
                  <a:sysClr val="windowText" lastClr="000000"/>
                </a:solidFill>
              </a:rPr>
              <a:t>GLOSSARY</a:t>
            </a:r>
          </a:p>
        </xdr:txBody>
      </xdr:sp>
      <xdr:sp macro="" textlink="">
        <xdr:nvSpPr>
          <xdr:cNvPr id="6" name="TextBox 5">
            <a:extLst>
              <a:ext uri="{FF2B5EF4-FFF2-40B4-BE49-F238E27FC236}">
                <a16:creationId xmlns:a16="http://schemas.microsoft.com/office/drawing/2014/main" id="{116F6B75-C27A-A76E-BD4B-F95A5ECD43B2}"/>
              </a:ext>
            </a:extLst>
          </xdr:cNvPr>
          <xdr:cNvSpPr txBox="1"/>
        </xdr:nvSpPr>
        <xdr:spPr>
          <a:xfrm>
            <a:off x="149102" y="3316946"/>
            <a:ext cx="1550563"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BFBFBF"/>
                </a:solidFill>
              </a:rPr>
              <a:t>HOME</a:t>
            </a:r>
            <a:endParaRPr lang="en-IN" sz="1100">
              <a:solidFill>
                <a:srgbClr val="BFBFBF"/>
              </a:solidFill>
            </a:endParaRPr>
          </a:p>
        </xdr:txBody>
      </xdr:sp>
      <xdr:sp macro="[0]!Button_Intro" textlink="">
        <xdr:nvSpPr>
          <xdr:cNvPr id="7" name="Oval 6">
            <a:extLst>
              <a:ext uri="{FF2B5EF4-FFF2-40B4-BE49-F238E27FC236}">
                <a16:creationId xmlns:a16="http://schemas.microsoft.com/office/drawing/2014/main" id="{99F16984-340B-AE21-EAEB-9FEA84A1F598}"/>
              </a:ext>
            </a:extLst>
          </xdr:cNvPr>
          <xdr:cNvSpPr/>
        </xdr:nvSpPr>
        <xdr:spPr>
          <a:xfrm>
            <a:off x="744383"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8" name="TextBox 7">
            <a:extLst>
              <a:ext uri="{FF2B5EF4-FFF2-40B4-BE49-F238E27FC236}">
                <a16:creationId xmlns:a16="http://schemas.microsoft.com/office/drawing/2014/main" id="{82C3F039-26E5-4F0F-5833-B34AA918EA15}"/>
              </a:ext>
            </a:extLst>
          </xdr:cNvPr>
          <xdr:cNvSpPr txBox="1"/>
        </xdr:nvSpPr>
        <xdr:spPr>
          <a:xfrm>
            <a:off x="2516795"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GENERAL QUESTION</a:t>
            </a:r>
            <a:endParaRPr lang="en-IN" sz="1100">
              <a:solidFill>
                <a:schemeClr val="bg1">
                  <a:lumMod val="65000"/>
                </a:schemeClr>
              </a:solidFill>
            </a:endParaRPr>
          </a:p>
        </xdr:txBody>
      </xdr:sp>
      <xdr:sp macro="" textlink="">
        <xdr:nvSpPr>
          <xdr:cNvPr id="9" name="TextBox 8">
            <a:extLst>
              <a:ext uri="{FF2B5EF4-FFF2-40B4-BE49-F238E27FC236}">
                <a16:creationId xmlns:a16="http://schemas.microsoft.com/office/drawing/2014/main" id="{F0356FCD-56BA-6BEB-6FDC-0D581DEAF6F2}"/>
              </a:ext>
            </a:extLst>
          </xdr:cNvPr>
          <xdr:cNvSpPr txBox="1"/>
        </xdr:nvSpPr>
        <xdr:spPr>
          <a:xfrm>
            <a:off x="4838708" y="3316946"/>
            <a:ext cx="1554360"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lumMod val="65000"/>
                  </a:schemeClr>
                </a:solidFill>
              </a:rPr>
              <a:t>SELF-ASSESSMENT QUESTIONNAIRE</a:t>
            </a:r>
            <a:endParaRPr lang="en-IN" sz="1100">
              <a:solidFill>
                <a:schemeClr val="bg1">
                  <a:lumMod val="65000"/>
                </a:schemeClr>
              </a:solidFill>
            </a:endParaRPr>
          </a:p>
        </xdr:txBody>
      </xdr:sp>
      <xdr:sp macro="" textlink="">
        <xdr:nvSpPr>
          <xdr:cNvPr id="10" name="TextBox 9">
            <a:extLst>
              <a:ext uri="{FF2B5EF4-FFF2-40B4-BE49-F238E27FC236}">
                <a16:creationId xmlns:a16="http://schemas.microsoft.com/office/drawing/2014/main" id="{2C6B0C94-A1D6-7CFF-7AA5-3ABE9A61AA47}"/>
              </a:ext>
            </a:extLst>
          </xdr:cNvPr>
          <xdr:cNvSpPr txBox="1"/>
        </xdr:nvSpPr>
        <xdr:spPr>
          <a:xfrm>
            <a:off x="7208380" y="3316946"/>
            <a:ext cx="1546882" cy="46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2D953E"/>
                </a:solidFill>
              </a:rPr>
              <a:t>PERFORMANCE</a:t>
            </a:r>
            <a:endParaRPr lang="en-IN" sz="1100">
              <a:solidFill>
                <a:srgbClr val="2D953E"/>
              </a:solidFill>
            </a:endParaRPr>
          </a:p>
        </xdr:txBody>
      </xdr:sp>
      <xdr:sp macro="[0]!Button_Gen_Que" textlink="">
        <xdr:nvSpPr>
          <xdr:cNvPr id="11" name="Oval 10">
            <a:extLst>
              <a:ext uri="{FF2B5EF4-FFF2-40B4-BE49-F238E27FC236}">
                <a16:creationId xmlns:a16="http://schemas.microsoft.com/office/drawing/2014/main" id="{E78EF7E2-D3EB-4C24-4445-425972BA93E7}"/>
              </a:ext>
            </a:extLst>
          </xdr:cNvPr>
          <xdr:cNvSpPr/>
        </xdr:nvSpPr>
        <xdr:spPr>
          <a:xfrm>
            <a:off x="311397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solidFill>
                <a:sysClr val="windowText" lastClr="000000"/>
              </a:solidFill>
            </a:endParaRPr>
          </a:p>
        </xdr:txBody>
      </xdr:sp>
      <xdr:sp macro="[0]!Button_Self_Assess" textlink="">
        <xdr:nvSpPr>
          <xdr:cNvPr id="12" name="Oval 11">
            <a:extLst>
              <a:ext uri="{FF2B5EF4-FFF2-40B4-BE49-F238E27FC236}">
                <a16:creationId xmlns:a16="http://schemas.microsoft.com/office/drawing/2014/main" id="{4EBDA056-29E0-8FC2-D391-041328E9A0F0}"/>
              </a:ext>
            </a:extLst>
          </xdr:cNvPr>
          <xdr:cNvSpPr/>
        </xdr:nvSpPr>
        <xdr:spPr>
          <a:xfrm>
            <a:off x="5435888" y="2852740"/>
            <a:ext cx="338447" cy="356928"/>
          </a:xfrm>
          <a:prstGeom prst="ellipse">
            <a:avLst/>
          </a:prstGeom>
          <a:solidFill>
            <a:srgbClr val="BFBFBF"/>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sp macro="" textlink="">
        <xdr:nvSpPr>
          <xdr:cNvPr id="13" name="Oval 12">
            <a:extLst>
              <a:ext uri="{FF2B5EF4-FFF2-40B4-BE49-F238E27FC236}">
                <a16:creationId xmlns:a16="http://schemas.microsoft.com/office/drawing/2014/main" id="{27B52B40-A39C-29AD-788D-CBA95266BB52}"/>
              </a:ext>
            </a:extLst>
          </xdr:cNvPr>
          <xdr:cNvSpPr/>
        </xdr:nvSpPr>
        <xdr:spPr>
          <a:xfrm>
            <a:off x="7801821" y="2852740"/>
            <a:ext cx="338447" cy="356928"/>
          </a:xfrm>
          <a:prstGeom prst="ellipse">
            <a:avLst/>
          </a:prstGeom>
          <a:solidFill>
            <a:srgbClr val="2D953E"/>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5710238</xdr:colOff>
      <xdr:row>4</xdr:row>
      <xdr:rowOff>190494</xdr:rowOff>
    </xdr:from>
    <xdr:to>
      <xdr:col>5</xdr:col>
      <xdr:colOff>547759</xdr:colOff>
      <xdr:row>8</xdr:row>
      <xdr:rowOff>155606</xdr:rowOff>
    </xdr:to>
    <xdr:pic>
      <xdr:nvPicPr>
        <xdr:cNvPr id="6" name="Picture 5">
          <a:extLst>
            <a:ext uri="{FF2B5EF4-FFF2-40B4-BE49-F238E27FC236}">
              <a16:creationId xmlns:a16="http://schemas.microsoft.com/office/drawing/2014/main" id="{A3E849E9-1622-7C24-5BA3-83760309981A}"/>
            </a:ext>
          </a:extLst>
        </xdr:cNvPr>
        <xdr:cNvPicPr>
          <a:picLocks noChangeAspect="1"/>
        </xdr:cNvPicPr>
      </xdr:nvPicPr>
      <xdr:blipFill>
        <a:blip xmlns:r="http://schemas.openxmlformats.org/officeDocument/2006/relationships" r:embed="rId1"/>
        <a:stretch>
          <a:fillRect/>
        </a:stretch>
      </xdr:blipFill>
      <xdr:spPr>
        <a:xfrm>
          <a:off x="10814051" y="952494"/>
          <a:ext cx="1393896" cy="727112"/>
        </a:xfrm>
        <a:prstGeom prst="rect">
          <a:avLst/>
        </a:prstGeom>
      </xdr:spPr>
    </xdr:pic>
    <xdr:clientData/>
  </xdr:twoCellAnchor>
  <xdr:twoCellAnchor>
    <xdr:from>
      <xdr:col>1</xdr:col>
      <xdr:colOff>19050</xdr:colOff>
      <xdr:row>0</xdr:row>
      <xdr:rowOff>63500</xdr:rowOff>
    </xdr:from>
    <xdr:to>
      <xdr:col>2</xdr:col>
      <xdr:colOff>539750</xdr:colOff>
      <xdr:row>5</xdr:row>
      <xdr:rowOff>107951</xdr:rowOff>
    </xdr:to>
    <xdr:grpSp>
      <xdr:nvGrpSpPr>
        <xdr:cNvPr id="4" name="Group 3">
          <a:extLst>
            <a:ext uri="{FF2B5EF4-FFF2-40B4-BE49-F238E27FC236}">
              <a16:creationId xmlns:a16="http://schemas.microsoft.com/office/drawing/2014/main" id="{12213CE3-A530-8254-024A-36D9751797E7}"/>
            </a:ext>
          </a:extLst>
        </xdr:cNvPr>
        <xdr:cNvGrpSpPr/>
      </xdr:nvGrpSpPr>
      <xdr:grpSpPr>
        <a:xfrm>
          <a:off x="438150" y="66675"/>
          <a:ext cx="2438400" cy="990601"/>
          <a:chOff x="63500" y="69850"/>
          <a:chExt cx="2444750" cy="996951"/>
        </a:xfrm>
      </xdr:grpSpPr>
      <xdr:grpSp>
        <xdr:nvGrpSpPr>
          <xdr:cNvPr id="2" name="Group 1">
            <a:extLst>
              <a:ext uri="{FF2B5EF4-FFF2-40B4-BE49-F238E27FC236}">
                <a16:creationId xmlns:a16="http://schemas.microsoft.com/office/drawing/2014/main" id="{98F13D33-A2DB-4932-9D58-48DC240F7626}"/>
              </a:ext>
            </a:extLst>
          </xdr:cNvPr>
          <xdr:cNvGrpSpPr/>
        </xdr:nvGrpSpPr>
        <xdr:grpSpPr>
          <a:xfrm>
            <a:off x="63500" y="69850"/>
            <a:ext cx="2444750" cy="996951"/>
            <a:chOff x="103005" y="2784104"/>
            <a:chExt cx="2308653" cy="988443"/>
          </a:xfrm>
        </xdr:grpSpPr>
        <xdr:sp macro="" textlink="">
          <xdr:nvSpPr>
            <xdr:cNvPr id="3" name="Rectangle 2">
              <a:extLst>
                <a:ext uri="{FF2B5EF4-FFF2-40B4-BE49-F238E27FC236}">
                  <a16:creationId xmlns:a16="http://schemas.microsoft.com/office/drawing/2014/main" id="{1244501E-B39E-ED9D-3211-3C1B9F9E0CF4}"/>
                </a:ext>
              </a:extLst>
            </xdr:cNvPr>
            <xdr:cNvSpPr/>
          </xdr:nvSpPr>
          <xdr:spPr>
            <a:xfrm>
              <a:off x="103005" y="2784104"/>
              <a:ext cx="2308653" cy="988443"/>
            </a:xfrm>
            <a:prstGeom prst="rect">
              <a:avLst/>
            </a:prstGeom>
            <a:solidFill>
              <a:schemeClr val="bg1"/>
            </a:solidFill>
            <a:ln w="12700">
              <a:solidFill>
                <a:srgbClr val="2D953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Button_Glossary" textlink="">
          <xdr:nvSpPr>
            <xdr:cNvPr id="5" name="Rectangle: Rounded Corners 4">
              <a:extLst>
                <a:ext uri="{FF2B5EF4-FFF2-40B4-BE49-F238E27FC236}">
                  <a16:creationId xmlns:a16="http://schemas.microsoft.com/office/drawing/2014/main" id="{7392A1B5-05BF-F7A0-3199-0CB002D8371E}"/>
                </a:ext>
              </a:extLst>
            </xdr:cNvPr>
            <xdr:cNvSpPr/>
          </xdr:nvSpPr>
          <xdr:spPr>
            <a:xfrm>
              <a:off x="307748" y="3318679"/>
              <a:ext cx="1817688" cy="360000"/>
            </a:xfrm>
            <a:prstGeom prst="roundRect">
              <a:avLst/>
            </a:prstGeom>
            <a:solidFill>
              <a:srgbClr val="2D953E"/>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t>GLOSSARY</a:t>
              </a:r>
            </a:p>
          </xdr:txBody>
        </xdr:sp>
      </xdr:grpSp>
      <xdr:sp macro="[0]!Button_Intro" textlink="">
        <xdr:nvSpPr>
          <xdr:cNvPr id="15" name="Rectangle: Rounded Corners 14">
            <a:extLst>
              <a:ext uri="{FF2B5EF4-FFF2-40B4-BE49-F238E27FC236}">
                <a16:creationId xmlns:a16="http://schemas.microsoft.com/office/drawing/2014/main" id="{43E9CFE9-FB59-4244-9C8C-BAD40582C89B}"/>
              </a:ext>
            </a:extLst>
          </xdr:cNvPr>
          <xdr:cNvSpPr/>
        </xdr:nvSpPr>
        <xdr:spPr>
          <a:xfrm>
            <a:off x="279400" y="139700"/>
            <a:ext cx="1934503" cy="363099"/>
          </a:xfrm>
          <a:prstGeom prst="roundRect">
            <a:avLst/>
          </a:prstGeom>
          <a:solidFill>
            <a:srgbClr val="D9D9D9"/>
          </a:solidFill>
          <a:ln>
            <a:noFill/>
          </a:ln>
          <a:effectLst>
            <a:outerShdw blurRad="50800" dist="38100" dir="5400000" algn="t"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kern="1200">
                <a:solidFill>
                  <a:sysClr val="windowText" lastClr="000000"/>
                </a:solidFill>
              </a:rPr>
              <a:t>Home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queData" displayName="queData" ref="D14:Q229" totalsRowShown="0" headerRowDxfId="130" dataDxfId="128" headerRowBorderDxfId="129" tableBorderDxfId="127" totalsRowBorderDxfId="126">
  <autoFilter ref="D14:Q229" xr:uid="{00000000-0009-0000-0100-000002000000}">
    <filterColumn colId="3">
      <filters>
        <filter val="No"/>
      </filters>
    </filterColumn>
  </autoFilter>
  <tableColumns count="14">
    <tableColumn id="1" xr3:uid="{00000000-0010-0000-0000-000001000000}" name="Code" dataDxfId="125"/>
    <tableColumn id="4" xr3:uid="{00000000-0010-0000-0000-000004000000}" name="Question" dataDxfId="124"/>
    <tableColumn id="13" xr3:uid="{00000000-0010-0000-0000-00000D000000}" name="Responder" dataDxfId="123">
      <calculatedColumnFormula>#REF!</calculatedColumnFormula>
    </tableColumn>
    <tableColumn id="6" xr3:uid="{00000000-0010-0000-0000-000006000000}" name="Answer" dataDxfId="122"/>
    <tableColumn id="7" xr3:uid="{00000000-0010-0000-0000-000007000000}" name="Level" dataDxfId="121"/>
    <tableColumn id="3" xr3:uid="{00000000-0010-0000-0000-000003000000}" name="Topic" dataDxfId="120"/>
    <tableColumn id="8" xr3:uid="{00000000-0010-0000-0000-000008000000}" name="Ref" dataDxfId="119"/>
    <tableColumn id="2" xr3:uid="{00000000-0010-0000-0000-000002000000}" name="Column1" dataDxfId="118">
      <calculatedColumnFormula>Y15</calculatedColumnFormula>
    </tableColumn>
    <tableColumn id="5" xr3:uid="{00000000-0010-0000-0000-000005000000}" name="Impact" dataDxfId="117">
      <calculatedColumnFormula>IF(AND(W15=1,X15=1),"REGEN &amp; CSDDD",IF(AND(W15=1,ISBLANK(X15)),"REGEN",IF(AND(ISBLANK(W15),X15=1),"CSDDD","")))</calculatedColumnFormula>
    </tableColumn>
    <tableColumn id="14" xr3:uid="{00000000-0010-0000-0000-00000E000000}" name="Column2" dataDxfId="116"/>
    <tableColumn id="9" xr3:uid="{00000000-0010-0000-0000-000009000000}" name="Requirements" dataDxfId="115"/>
    <tableColumn id="10" xr3:uid="{00000000-0010-0000-0000-00000A000000}" name="Requirements (smallholders)" dataDxfId="114"/>
    <tableColumn id="11" xr3:uid="{00000000-0010-0000-0000-00000B000000}" name="Guidance Notes" dataDxfId="113"/>
    <tableColumn id="12" xr3:uid="{00000000-0010-0000-0000-00000C000000}" name="Guidance Links" dataDxfId="11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ela16" displayName="Tabela16" ref="A17:G114" totalsRowShown="0" headerRowDxfId="137" tableBorderDxfId="136">
  <tableColumns count="7">
    <tableColumn id="1" xr3:uid="{00000000-0010-0000-0100-000001000000}" name="Nº" dataDxfId="135"/>
    <tableColumn id="6" xr3:uid="{00000000-0010-0000-0100-000006000000}" name="Coluna2" dataDxfId="134"/>
    <tableColumn id="5" xr3:uid="{00000000-0010-0000-0100-000005000000}" name="Coluna3"/>
    <tableColumn id="8" xr3:uid="{00000000-0010-0000-0100-000008000000}" name="Coluna22"/>
    <tableColumn id="2" xr3:uid="{00000000-0010-0000-0100-000002000000}" name="ITENS" dataDxfId="133"/>
    <tableColumn id="3" xr3:uid="{00000000-0010-0000-0100-000003000000}" name="AVALIAÇÃO" dataDxfId="132"/>
    <tableColumn id="4" xr3:uid="{00000000-0010-0000-0100-000004000000}" name="DESCRIÇÃO DA NÃO CONFORMIDADE" dataDxfId="131"/>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glossary" displayName="glossary" ref="B9:D259" totalsRowShown="0" dataDxfId="111">
  <tableColumns count="3">
    <tableColumn id="1" xr3:uid="{00000000-0010-0000-0200-000001000000}" name="Term" dataDxfId="110"/>
    <tableColumn id="2" xr3:uid="{00000000-0010-0000-0200-000002000000}" name="Alternative Term" dataDxfId="109"/>
    <tableColumn id="3" xr3:uid="{00000000-0010-0000-0200-000003000000}" name="Description" dataDxfId="10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hyperlink" Target="http://www.fao.org/3/Y1579E/y1579e03.htm"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Reference"/>
  <dimension ref="A1:N209"/>
  <sheetViews>
    <sheetView zoomScale="118" workbookViewId="0">
      <selection activeCell="B11" sqref="B11"/>
    </sheetView>
  </sheetViews>
  <sheetFormatPr defaultColWidth="8.81640625" defaultRowHeight="14.5"/>
  <cols>
    <col min="1" max="1" width="29.81640625" bestFit="1" customWidth="1"/>
    <col min="2" max="2" width="29.453125" bestFit="1" customWidth="1"/>
    <col min="3" max="3" width="30.36328125" bestFit="1" customWidth="1"/>
    <col min="4" max="4" width="27.453125" bestFit="1" customWidth="1"/>
    <col min="5" max="5" width="32.81640625" bestFit="1" customWidth="1"/>
    <col min="6" max="6" width="42.81640625" bestFit="1" customWidth="1"/>
    <col min="7" max="7" width="35.81640625" bestFit="1" customWidth="1"/>
    <col min="8" max="8" width="32.1796875" bestFit="1" customWidth="1"/>
  </cols>
  <sheetData>
    <row r="1" spans="1:14" ht="15.5">
      <c r="A1" s="7" t="s">
        <v>611</v>
      </c>
      <c r="B1" s="7" t="s">
        <v>613</v>
      </c>
      <c r="C1" s="7" t="s">
        <v>609</v>
      </c>
      <c r="D1" s="7" t="s">
        <v>616</v>
      </c>
      <c r="E1" s="7" t="s">
        <v>618</v>
      </c>
      <c r="F1" s="7" t="s">
        <v>619</v>
      </c>
      <c r="G1" s="7" t="s">
        <v>607</v>
      </c>
      <c r="H1" s="7" t="s">
        <v>622</v>
      </c>
    </row>
    <row r="2" spans="1:14">
      <c r="A2" s="1" t="s">
        <v>612</v>
      </c>
      <c r="B2" s="1" t="s">
        <v>620</v>
      </c>
      <c r="C2" s="1" t="s">
        <v>624</v>
      </c>
      <c r="D2" s="1" t="s">
        <v>625</v>
      </c>
      <c r="E2" s="1" t="s">
        <v>610</v>
      </c>
      <c r="F2" s="1" t="s">
        <v>626</v>
      </c>
      <c r="G2" s="1" t="s">
        <v>627</v>
      </c>
      <c r="H2" s="1" t="s">
        <v>644</v>
      </c>
    </row>
    <row r="3" spans="1:14">
      <c r="A3" s="1" t="s">
        <v>617</v>
      </c>
      <c r="B3" s="1" t="s">
        <v>621</v>
      </c>
      <c r="C3" s="1" t="s">
        <v>645</v>
      </c>
      <c r="D3" s="1"/>
      <c r="E3" s="1"/>
      <c r="F3" s="1"/>
      <c r="G3" s="1" t="s">
        <v>646</v>
      </c>
      <c r="H3" s="1" t="s">
        <v>647</v>
      </c>
    </row>
    <row r="4" spans="1:14">
      <c r="A4" s="1" t="s">
        <v>615</v>
      </c>
      <c r="B4" s="1" t="s">
        <v>623</v>
      </c>
      <c r="C4" s="1"/>
      <c r="D4" s="1"/>
      <c r="E4" s="1"/>
      <c r="F4" s="1"/>
      <c r="G4" s="1"/>
      <c r="H4" s="1"/>
    </row>
    <row r="5" spans="1:14">
      <c r="A5" s="1" t="s">
        <v>614</v>
      </c>
      <c r="B5" s="1"/>
      <c r="C5" s="1"/>
      <c r="D5" s="1"/>
      <c r="E5" s="1"/>
      <c r="F5" s="1"/>
      <c r="G5" s="1"/>
      <c r="H5" s="1"/>
    </row>
    <row r="6" spans="1:14">
      <c r="A6" s="1" t="s">
        <v>608</v>
      </c>
      <c r="B6" s="1"/>
      <c r="C6" s="1"/>
      <c r="D6" s="1"/>
      <c r="E6" s="1"/>
      <c r="F6" s="1"/>
      <c r="G6" s="1"/>
      <c r="H6" s="1"/>
    </row>
    <row r="10" spans="1:14">
      <c r="A10" s="8" t="s">
        <v>648</v>
      </c>
      <c r="B10" s="8" t="s">
        <v>649</v>
      </c>
    </row>
    <row r="11" spans="1:14">
      <c r="A11" s="9" t="s">
        <v>650</v>
      </c>
      <c r="B11" s="9" t="b">
        <v>1</v>
      </c>
    </row>
    <row r="12" spans="1:14">
      <c r="A12" s="9" t="s">
        <v>0</v>
      </c>
      <c r="B12" s="9" t="b">
        <v>1</v>
      </c>
    </row>
    <row r="13" spans="1:14">
      <c r="A13" s="8" t="s">
        <v>651</v>
      </c>
      <c r="B13" s="8">
        <f>COUNTIF($B$11:$B$12,"TRUE")</f>
        <v>0</v>
      </c>
    </row>
    <row r="14" spans="1:14">
      <c r="F14" t="s">
        <v>1413</v>
      </c>
    </row>
    <row r="15" spans="1:14">
      <c r="F15" s="146" t="str">
        <f>"'Self-Assessment Questionnaire'!"</f>
        <v>'Self-Assessment Questionnaire'!</v>
      </c>
      <c r="K15" t="s">
        <v>1418</v>
      </c>
      <c r="L15" t="s">
        <v>1419</v>
      </c>
      <c r="M15" t="s">
        <v>1420</v>
      </c>
      <c r="N15" t="s">
        <v>1421</v>
      </c>
    </row>
    <row r="16" spans="1:14" ht="15.5">
      <c r="F16" s="147"/>
      <c r="J16" t="s">
        <v>611</v>
      </c>
      <c r="K16">
        <v>1</v>
      </c>
      <c r="N16">
        <v>1</v>
      </c>
    </row>
    <row r="17" spans="6:13">
      <c r="J17" t="s">
        <v>613</v>
      </c>
      <c r="K17">
        <v>1</v>
      </c>
    </row>
    <row r="18" spans="6:13" ht="15.5">
      <c r="F18" s="147"/>
      <c r="J18" t="s">
        <v>609</v>
      </c>
      <c r="K18">
        <v>1</v>
      </c>
    </row>
    <row r="19" spans="6:13">
      <c r="J19" t="s">
        <v>616</v>
      </c>
      <c r="K19">
        <v>1</v>
      </c>
      <c r="L19">
        <v>1</v>
      </c>
      <c r="M19">
        <v>1</v>
      </c>
    </row>
    <row r="20" spans="6:13">
      <c r="J20" t="s">
        <v>618</v>
      </c>
    </row>
    <row r="21" spans="6:13">
      <c r="J21" t="s">
        <v>619</v>
      </c>
    </row>
    <row r="22" spans="6:13">
      <c r="J22" t="s">
        <v>607</v>
      </c>
    </row>
    <row r="23" spans="6:13">
      <c r="J23" t="s">
        <v>622</v>
      </c>
    </row>
    <row r="204" spans="1:1">
      <c r="A204" s="229" t="s">
        <v>1485</v>
      </c>
    </row>
    <row r="205" spans="1:1" ht="15.5">
      <c r="A205" s="230" t="s">
        <v>1486</v>
      </c>
    </row>
    <row r="206" spans="1:1" ht="15.5">
      <c r="A206" s="195" t="s">
        <v>1487</v>
      </c>
    </row>
    <row r="207" spans="1:1" ht="15.5">
      <c r="A207" s="195" t="s">
        <v>1488</v>
      </c>
    </row>
    <row r="208" spans="1:1" ht="15.5">
      <c r="A208" s="195" t="s">
        <v>1489</v>
      </c>
    </row>
    <row r="209" spans="1:1" ht="15.5">
      <c r="A209" s="195" t="s">
        <v>1490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me"/>
  <dimension ref="C1:N31"/>
  <sheetViews>
    <sheetView showGridLines="0" topLeftCell="A54" zoomScaleNormal="120" workbookViewId="0">
      <selection activeCell="J25" sqref="J25"/>
    </sheetView>
  </sheetViews>
  <sheetFormatPr defaultColWidth="8.81640625" defaultRowHeight="14.5"/>
  <cols>
    <col min="1" max="1" width="0.81640625" customWidth="1"/>
    <col min="2" max="2" width="4.1796875" customWidth="1"/>
    <col min="3" max="3" width="15.36328125" customWidth="1"/>
    <col min="5" max="5" width="8.81640625" customWidth="1"/>
    <col min="6" max="6" width="42.36328125" customWidth="1"/>
    <col min="7" max="7" width="40.453125" customWidth="1"/>
    <col min="8" max="8" width="10.1796875" customWidth="1"/>
    <col min="9" max="9" width="10.81640625" customWidth="1"/>
    <col min="10" max="10" width="18.1796875" customWidth="1"/>
    <col min="11" max="11" width="13.6328125" customWidth="1"/>
    <col min="12" max="12" width="10.81640625" customWidth="1"/>
    <col min="14" max="14" width="41.81640625" customWidth="1"/>
  </cols>
  <sheetData>
    <row r="1" spans="14:14" ht="5.25" customHeight="1"/>
    <row r="9" spans="14:14" ht="15" customHeight="1">
      <c r="N9" s="417" t="s">
        <v>1605</v>
      </c>
    </row>
    <row r="10" spans="14:14">
      <c r="N10" s="418"/>
    </row>
    <row r="11" spans="14:14">
      <c r="N11" s="418"/>
    </row>
    <row r="12" spans="14:14">
      <c r="N12" s="418"/>
    </row>
    <row r="13" spans="14:14">
      <c r="N13" s="418"/>
    </row>
    <row r="14" spans="14:14">
      <c r="N14" s="418"/>
    </row>
    <row r="15" spans="14:14">
      <c r="N15" s="418"/>
    </row>
    <row r="16" spans="14:14">
      <c r="N16" s="418"/>
    </row>
    <row r="17" spans="3:14">
      <c r="N17" s="419"/>
    </row>
    <row r="18" spans="3:14" ht="36" customHeight="1">
      <c r="E18" s="272"/>
      <c r="F18" s="272"/>
      <c r="N18" s="276"/>
    </row>
    <row r="19" spans="3:14" ht="22" customHeight="1">
      <c r="C19" s="420" t="s">
        <v>1604</v>
      </c>
      <c r="D19" s="178">
        <f>SUBTOTAL(4,$E$21:$E$30)</f>
        <v>1</v>
      </c>
      <c r="E19" s="424" t="s">
        <v>1603</v>
      </c>
      <c r="F19" s="424" t="s">
        <v>605</v>
      </c>
      <c r="G19" s="424" t="s">
        <v>606</v>
      </c>
      <c r="H19" s="423" t="s">
        <v>1483</v>
      </c>
      <c r="I19" s="423"/>
      <c r="J19" s="423" t="s">
        <v>1482</v>
      </c>
      <c r="K19" s="423"/>
      <c r="N19" s="276"/>
    </row>
    <row r="20" spans="3:14">
      <c r="C20" s="421"/>
      <c r="E20" s="424"/>
      <c r="F20" s="424"/>
      <c r="G20" s="424"/>
      <c r="H20" s="273" t="s">
        <v>1484</v>
      </c>
      <c r="I20" s="273" t="s">
        <v>1491</v>
      </c>
      <c r="J20" s="273" t="s">
        <v>1492</v>
      </c>
      <c r="K20" s="273" t="s">
        <v>1485</v>
      </c>
      <c r="N20" s="276"/>
    </row>
    <row r="21" spans="3:14">
      <c r="C21" s="421"/>
      <c r="E21" s="274">
        <v>1</v>
      </c>
      <c r="F21" s="275" t="s">
        <v>611</v>
      </c>
      <c r="G21" s="275"/>
      <c r="H21" s="275"/>
      <c r="I21" s="275">
        <v>2015</v>
      </c>
      <c r="J21" s="275" t="s">
        <v>662</v>
      </c>
      <c r="K21" s="275" t="s">
        <v>1487</v>
      </c>
    </row>
    <row r="22" spans="3:14">
      <c r="C22" s="421"/>
      <c r="E22" s="274" t="str">
        <f>IF(AND(NOT(ISBLANK(F21)),NOT(ISBLANK(G21))),E21+1,"")</f>
        <v/>
      </c>
      <c r="F22" s="275" t="s">
        <v>613</v>
      </c>
      <c r="G22" s="275"/>
      <c r="H22" s="275"/>
      <c r="I22" s="275">
        <v>2015</v>
      </c>
      <c r="J22" s="275" t="s">
        <v>662</v>
      </c>
      <c r="K22" s="275" t="s">
        <v>1486</v>
      </c>
    </row>
    <row r="23" spans="3:14" ht="15" hidden="1" customHeight="1">
      <c r="C23" s="421"/>
      <c r="E23" s="9" t="str">
        <f>IF(AND(NOT(ISBLANK(F22)),NOT(ISBLANK(G22))),E22+1,"")</f>
        <v/>
      </c>
      <c r="F23" s="11" t="s">
        <v>609</v>
      </c>
      <c r="G23" s="11"/>
      <c r="H23" s="11"/>
      <c r="I23" s="11">
        <v>2020</v>
      </c>
      <c r="J23" s="11" t="s">
        <v>662</v>
      </c>
      <c r="K23" s="11" t="s">
        <v>1487</v>
      </c>
    </row>
    <row r="24" spans="3:14" ht="15" hidden="1" customHeight="1">
      <c r="C24" s="421"/>
      <c r="E24" s="9" t="str">
        <f t="shared" ref="E24:E28" si="0">IF(AND(NOT(ISBLANK(F23)),NOT(ISBLANK(G23))),E23+1,"")</f>
        <v/>
      </c>
      <c r="F24" s="11" t="s">
        <v>616</v>
      </c>
      <c r="G24" s="11"/>
      <c r="H24" s="11"/>
      <c r="I24" s="11">
        <v>2015</v>
      </c>
      <c r="J24" s="11" t="s">
        <v>662</v>
      </c>
      <c r="K24" s="11" t="s">
        <v>1486</v>
      </c>
    </row>
    <row r="25" spans="3:14" ht="15" hidden="1" customHeight="1">
      <c r="C25" s="421"/>
      <c r="E25" s="9" t="str">
        <f t="shared" si="0"/>
        <v/>
      </c>
      <c r="F25" s="11" t="s">
        <v>619</v>
      </c>
      <c r="G25" s="11"/>
      <c r="H25" s="11"/>
      <c r="I25" s="11">
        <v>2015</v>
      </c>
      <c r="J25" s="11" t="s">
        <v>662</v>
      </c>
      <c r="K25" s="11" t="s">
        <v>1487</v>
      </c>
    </row>
    <row r="26" spans="3:14" ht="15" hidden="1" customHeight="1">
      <c r="C26" s="421"/>
      <c r="E26" s="9" t="str">
        <f t="shared" si="0"/>
        <v/>
      </c>
      <c r="F26" s="11" t="s">
        <v>609</v>
      </c>
      <c r="G26" s="11"/>
      <c r="H26" s="11"/>
      <c r="I26" s="11">
        <v>2020</v>
      </c>
      <c r="J26" s="11" t="s">
        <v>662</v>
      </c>
      <c r="K26" s="11" t="s">
        <v>1489</v>
      </c>
    </row>
    <row r="27" spans="3:14" ht="15" hidden="1" customHeight="1">
      <c r="C27" s="421"/>
      <c r="E27" s="9" t="str">
        <f t="shared" si="0"/>
        <v/>
      </c>
      <c r="F27" s="11"/>
      <c r="G27" s="11"/>
      <c r="H27" s="11"/>
      <c r="I27" s="11"/>
      <c r="J27" s="11"/>
      <c r="K27" s="11"/>
    </row>
    <row r="28" spans="3:14" ht="15" hidden="1" customHeight="1">
      <c r="C28" s="421"/>
      <c r="E28" s="9" t="str">
        <f t="shared" si="0"/>
        <v/>
      </c>
      <c r="F28" s="11"/>
      <c r="G28" s="11"/>
      <c r="H28" s="11"/>
      <c r="I28" s="11"/>
      <c r="J28" s="11"/>
      <c r="K28" s="11"/>
    </row>
    <row r="29" spans="3:14">
      <c r="C29" s="422"/>
    </row>
    <row r="31" spans="3:14" hidden="1"/>
  </sheetData>
  <sheetProtection sheet="1" objects="1" scenarios="1" selectLockedCells="1"/>
  <mergeCells count="7">
    <mergeCell ref="N9:N17"/>
    <mergeCell ref="C19:C29"/>
    <mergeCell ref="H19:I19"/>
    <mergeCell ref="J19:K19"/>
    <mergeCell ref="G19:G20"/>
    <mergeCell ref="F19:F20"/>
    <mergeCell ref="E19:E20"/>
  </mergeCells>
  <dataValidations count="3">
    <dataValidation type="list" allowBlank="1" showInputMessage="1" showErrorMessage="1" sqref="H21:H28 J21:J28" xr:uid="{00000000-0002-0000-0100-000000000000}">
      <formula1>"Yes, No"</formula1>
    </dataValidation>
    <dataValidation type="list" allowBlank="1" showInputMessage="1" showErrorMessage="1" sqref="G21:G28" xr:uid="{00000000-0002-0000-0100-000001000000}">
      <formula1>INDIRECT(SUBSTITUTE(SUBSTITUTE($F21," ","_"),"-","_"))</formula1>
    </dataValidation>
    <dataValidation type="whole" allowBlank="1" showInputMessage="1" showErrorMessage="1" sqref="I21:I28" xr:uid="{00000000-0002-0000-0100-000002000000}">
      <formula1>1900</formula1>
      <formula2>2100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37" r:id="rId3" name="Check Box 21">
              <controlPr defaultSize="0" autoFill="0" autoLine="0" autoPict="0" macro="[0]!FSA_Start">
                <anchor>
                  <from>
                    <xdr:col>7</xdr:col>
                    <xdr:colOff>63500</xdr:colOff>
                    <xdr:row>9</xdr:row>
                    <xdr:rowOff>44450</xdr:rowOff>
                  </from>
                  <to>
                    <xdr:col>7</xdr:col>
                    <xdr:colOff>304800</xdr:colOff>
                    <xdr:row>10</xdr:row>
                    <xdr:rowOff>88900</xdr:rowOff>
                  </to>
                </anchor>
              </controlPr>
            </control>
          </mc:Choice>
        </mc:AlternateContent>
        <mc:AlternateContent xmlns:mc="http://schemas.openxmlformats.org/markup-compatibility/2006">
          <mc:Choice Requires="x14">
            <control shapeId="9238" r:id="rId4" name="Check Box 22">
              <controlPr defaultSize="0" autoFill="0" autoLine="0" autoPict="0" macro="[0]!FSA_Start">
                <anchor>
                  <from>
                    <xdr:col>10</xdr:col>
                    <xdr:colOff>127000</xdr:colOff>
                    <xdr:row>9</xdr:row>
                    <xdr:rowOff>44450</xdr:rowOff>
                  </from>
                  <to>
                    <xdr:col>10</xdr:col>
                    <xdr:colOff>368300</xdr:colOff>
                    <xdr:row>10</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3000000}">
          <x14:formula1>
            <xm:f>References!$A$1:$H$1</xm:f>
          </x14:formula1>
          <xm:sqref>F21:F28</xm:sqref>
        </x14:dataValidation>
        <x14:dataValidation type="list" allowBlank="1" showInputMessage="1" showErrorMessage="1" xr:uid="{00000000-0002-0000-0100-000004000000}">
          <x14:formula1>
            <xm:f>References!$A$205:$A$209</xm:f>
          </x14:formula1>
          <xm:sqref>K21:K28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_Que"/>
  <dimension ref="A1:K66"/>
  <sheetViews>
    <sheetView showGridLines="0" showRowColHeaders="0" zoomScale="94" zoomScaleNormal="100" workbookViewId="0">
      <selection activeCell="B17" sqref="B17:D17"/>
    </sheetView>
  </sheetViews>
  <sheetFormatPr defaultColWidth="15.453125" defaultRowHeight="14.5"/>
  <cols>
    <col min="1" max="1" width="6.6328125" customWidth="1"/>
    <col min="2" max="9" width="18.453125" customWidth="1"/>
    <col min="10" max="10" width="7.1796875" customWidth="1"/>
  </cols>
  <sheetData>
    <row r="1" spans="1:11" ht="17">
      <c r="A1" s="179"/>
      <c r="B1" s="179"/>
      <c r="C1" s="179"/>
      <c r="D1" s="179"/>
      <c r="E1" s="179"/>
      <c r="F1" s="179"/>
      <c r="G1" s="179"/>
      <c r="H1" s="179"/>
      <c r="I1" s="179"/>
      <c r="J1" s="179"/>
      <c r="K1" s="179"/>
    </row>
    <row r="2" spans="1:11" ht="17">
      <c r="A2" s="179"/>
      <c r="B2" s="179"/>
      <c r="C2" s="179"/>
      <c r="D2" s="179"/>
      <c r="E2" s="179"/>
      <c r="F2" s="179"/>
      <c r="G2" s="179"/>
      <c r="H2" s="179"/>
      <c r="I2" s="179"/>
      <c r="J2" s="179"/>
      <c r="K2" s="179"/>
    </row>
    <row r="3" spans="1:11" ht="17">
      <c r="A3" s="179"/>
      <c r="B3" s="179"/>
      <c r="C3" s="179"/>
      <c r="D3" s="179"/>
      <c r="E3" s="179"/>
      <c r="F3" s="179"/>
      <c r="G3" s="179"/>
      <c r="H3" s="179"/>
      <c r="I3" s="179"/>
      <c r="J3" s="179"/>
      <c r="K3" s="179"/>
    </row>
    <row r="4" spans="1:11" ht="17">
      <c r="A4" s="179"/>
      <c r="B4" s="179"/>
      <c r="C4" s="179"/>
      <c r="D4" s="179"/>
      <c r="E4" s="179"/>
      <c r="F4" s="179"/>
      <c r="G4" s="179"/>
      <c r="H4" s="179"/>
      <c r="I4" s="179"/>
      <c r="J4" s="179"/>
      <c r="K4" s="179"/>
    </row>
    <row r="5" spans="1:11" ht="17">
      <c r="A5" s="179"/>
      <c r="B5" s="179"/>
      <c r="C5" s="179"/>
      <c r="D5" s="179"/>
      <c r="E5" s="179"/>
      <c r="F5" s="179"/>
      <c r="G5" s="179"/>
      <c r="H5" s="179"/>
      <c r="I5" s="179"/>
      <c r="J5" s="179"/>
      <c r="K5" s="179"/>
    </row>
    <row r="6" spans="1:11" ht="17">
      <c r="A6" s="179"/>
      <c r="B6" s="179"/>
      <c r="C6" s="179"/>
      <c r="D6" s="179"/>
      <c r="E6" s="179"/>
      <c r="F6" s="179"/>
      <c r="G6" s="179"/>
      <c r="H6" s="179"/>
      <c r="I6" s="179"/>
      <c r="J6" s="179"/>
      <c r="K6" s="179"/>
    </row>
    <row r="7" spans="1:11" ht="17">
      <c r="A7" s="179"/>
      <c r="B7" s="179"/>
      <c r="C7" s="179"/>
      <c r="D7" s="179"/>
      <c r="E7" s="179"/>
      <c r="F7" s="179"/>
      <c r="G7" s="179"/>
      <c r="H7" s="179"/>
      <c r="I7" s="179"/>
      <c r="J7" s="179"/>
      <c r="K7" s="179"/>
    </row>
    <row r="8" spans="1:11" ht="17">
      <c r="A8" s="179"/>
      <c r="B8" s="179"/>
      <c r="C8" s="179"/>
      <c r="D8" s="179"/>
      <c r="E8" s="179"/>
      <c r="F8" s="179"/>
      <c r="G8" s="179"/>
      <c r="H8" s="179"/>
      <c r="I8" s="179"/>
      <c r="J8" s="179"/>
      <c r="K8" s="179"/>
    </row>
    <row r="9" spans="1:11" ht="17">
      <c r="A9" s="179"/>
      <c r="B9" s="425" t="s">
        <v>629</v>
      </c>
      <c r="C9" s="425"/>
      <c r="D9" s="425"/>
      <c r="E9" s="180"/>
      <c r="F9" s="179"/>
      <c r="G9" s="179"/>
      <c r="H9" s="179"/>
      <c r="I9" s="179"/>
      <c r="J9" s="179"/>
      <c r="K9" s="179"/>
    </row>
    <row r="10" spans="1:11" ht="17">
      <c r="A10" s="179"/>
      <c r="B10" s="180"/>
      <c r="C10" s="180"/>
      <c r="D10" s="180"/>
      <c r="E10" s="180"/>
      <c r="F10" s="179"/>
      <c r="G10" s="179"/>
      <c r="H10" s="179"/>
      <c r="I10" s="179"/>
      <c r="J10" s="179"/>
      <c r="K10" s="179"/>
    </row>
    <row r="11" spans="1:11" ht="17">
      <c r="A11" s="179"/>
      <c r="B11" s="6" t="e">
        <f>YEAR(#REF!)</f>
        <v>#REF!</v>
      </c>
      <c r="C11" s="6" t="e">
        <f>MONTH(#REF!)</f>
        <v>#REF!</v>
      </c>
      <c r="D11" s="6" t="e">
        <f>DAY(#REF!)</f>
        <v>#REF!</v>
      </c>
      <c r="E11" s="180"/>
      <c r="F11" s="179"/>
      <c r="G11" s="179"/>
      <c r="H11" s="179"/>
      <c r="I11" s="179"/>
      <c r="J11" s="179"/>
      <c r="K11" s="179"/>
    </row>
    <row r="12" spans="1:11" ht="17">
      <c r="A12" s="179"/>
      <c r="B12" s="181"/>
      <c r="C12" s="181"/>
      <c r="D12" s="181"/>
      <c r="E12" s="181"/>
      <c r="F12" s="181"/>
      <c r="G12" s="181"/>
      <c r="H12" s="181"/>
      <c r="I12" s="181"/>
      <c r="J12" s="179"/>
      <c r="K12" s="179"/>
    </row>
    <row r="13" spans="1:11" ht="18.5">
      <c r="A13" s="179"/>
      <c r="B13" s="426" t="s">
        <v>643</v>
      </c>
      <c r="C13" s="426"/>
      <c r="D13" s="426"/>
      <c r="E13" s="426"/>
      <c r="F13" s="426"/>
      <c r="G13" s="426"/>
      <c r="H13" s="426"/>
      <c r="I13" s="426"/>
      <c r="J13" s="179"/>
      <c r="K13" s="179"/>
    </row>
    <row r="14" spans="1:11" ht="17">
      <c r="A14" s="179"/>
      <c r="B14" s="181"/>
      <c r="C14" s="181"/>
      <c r="D14" s="181"/>
      <c r="E14" s="181"/>
      <c r="F14" s="181"/>
      <c r="G14" s="181"/>
      <c r="H14" s="181"/>
      <c r="I14" s="181"/>
      <c r="J14" s="179"/>
      <c r="K14" s="179"/>
    </row>
    <row r="15" spans="1:11" ht="17">
      <c r="A15" s="179"/>
      <c r="B15" s="425" t="s">
        <v>632</v>
      </c>
      <c r="C15" s="425"/>
      <c r="D15" s="425"/>
      <c r="E15" s="181"/>
      <c r="F15" s="425" t="s">
        <v>630</v>
      </c>
      <c r="G15" s="425"/>
      <c r="H15" s="425"/>
      <c r="I15" s="180"/>
      <c r="J15" s="179"/>
      <c r="K15" s="179"/>
    </row>
    <row r="16" spans="1:11" ht="17">
      <c r="A16" s="179"/>
      <c r="B16" s="180"/>
      <c r="C16" s="180"/>
      <c r="D16" s="180"/>
      <c r="E16" s="181"/>
      <c r="F16" s="180"/>
      <c r="G16" s="180"/>
      <c r="H16" s="180"/>
      <c r="I16" s="180"/>
      <c r="J16" s="179"/>
      <c r="K16" s="179"/>
    </row>
    <row r="17" spans="1:11" ht="17">
      <c r="A17" s="179"/>
      <c r="B17" s="427" t="e">
        <f>#REF!</f>
        <v>#REF!</v>
      </c>
      <c r="C17" s="427"/>
      <c r="D17" s="427"/>
      <c r="E17" s="181"/>
      <c r="F17" s="427" t="e">
        <f>#REF!</f>
        <v>#REF!</v>
      </c>
      <c r="G17" s="427"/>
      <c r="H17" s="427"/>
      <c r="I17" s="182"/>
      <c r="J17" s="179"/>
      <c r="K17" s="179"/>
    </row>
    <row r="18" spans="1:11" ht="17">
      <c r="A18" s="179"/>
      <c r="B18" s="181"/>
      <c r="C18" s="181"/>
      <c r="D18" s="181"/>
      <c r="E18" s="181"/>
      <c r="F18" s="181"/>
      <c r="G18" s="181"/>
      <c r="H18" s="181"/>
      <c r="I18" s="181"/>
      <c r="J18" s="179"/>
      <c r="K18" s="179"/>
    </row>
    <row r="19" spans="1:11" ht="17">
      <c r="A19" s="179"/>
      <c r="B19" s="425" t="s">
        <v>631</v>
      </c>
      <c r="C19" s="425"/>
      <c r="D19" s="425"/>
      <c r="E19" s="181"/>
      <c r="F19" s="425" t="s">
        <v>633</v>
      </c>
      <c r="G19" s="425"/>
      <c r="H19" s="425"/>
      <c r="I19" s="180"/>
      <c r="J19" s="179"/>
      <c r="K19" s="179"/>
    </row>
    <row r="20" spans="1:11" ht="17">
      <c r="A20" s="179"/>
      <c r="B20" s="180"/>
      <c r="C20" s="180"/>
      <c r="D20" s="180"/>
      <c r="E20" s="181"/>
      <c r="F20" s="180"/>
      <c r="G20" s="180"/>
      <c r="H20" s="180"/>
      <c r="I20" s="180"/>
      <c r="J20" s="179"/>
      <c r="K20" s="179"/>
    </row>
    <row r="21" spans="1:11" ht="17">
      <c r="A21" s="179"/>
      <c r="B21" s="428"/>
      <c r="C21" s="427"/>
      <c r="D21" s="427"/>
      <c r="E21" s="181"/>
      <c r="F21" s="427"/>
      <c r="G21" s="427"/>
      <c r="H21" s="427"/>
      <c r="I21" s="182"/>
      <c r="J21" s="179"/>
      <c r="K21" s="179"/>
    </row>
    <row r="22" spans="1:11" ht="17">
      <c r="A22" s="179"/>
      <c r="B22" s="181"/>
      <c r="C22" s="181"/>
      <c r="D22" s="181"/>
      <c r="E22" s="181"/>
      <c r="F22" s="181"/>
      <c r="G22" s="181"/>
      <c r="H22" s="181"/>
      <c r="I22" s="181"/>
      <c r="J22" s="179"/>
      <c r="K22" s="179"/>
    </row>
    <row r="23" spans="1:11" ht="17">
      <c r="A23" s="179"/>
      <c r="B23" s="425" t="s">
        <v>634</v>
      </c>
      <c r="C23" s="425"/>
      <c r="D23" s="425"/>
      <c r="E23" s="181"/>
      <c r="F23" s="425" t="s">
        <v>635</v>
      </c>
      <c r="G23" s="425"/>
      <c r="H23" s="425"/>
      <c r="I23" s="180"/>
      <c r="J23" s="179"/>
      <c r="K23" s="179"/>
    </row>
    <row r="24" spans="1:11" ht="17">
      <c r="A24" s="179"/>
      <c r="B24" s="180"/>
      <c r="C24" s="180"/>
      <c r="D24" s="180"/>
      <c r="E24" s="181"/>
      <c r="F24" s="180"/>
      <c r="G24" s="180"/>
      <c r="H24" s="180"/>
      <c r="I24" s="180"/>
      <c r="J24" s="179"/>
      <c r="K24" s="179"/>
    </row>
    <row r="25" spans="1:11" ht="17">
      <c r="A25" s="179"/>
      <c r="B25" s="428"/>
      <c r="C25" s="427"/>
      <c r="D25" s="427"/>
      <c r="E25" s="181"/>
      <c r="F25" s="427"/>
      <c r="G25" s="427"/>
      <c r="H25" s="427"/>
      <c r="I25" s="182"/>
      <c r="J25" s="179"/>
      <c r="K25" s="179"/>
    </row>
    <row r="26" spans="1:11" ht="17">
      <c r="A26" s="179"/>
      <c r="B26" s="181"/>
      <c r="C26" s="181"/>
      <c r="D26" s="181"/>
      <c r="E26" s="181"/>
      <c r="F26" s="181"/>
      <c r="G26" s="181"/>
      <c r="H26" s="181"/>
      <c r="I26" s="181"/>
      <c r="J26" s="179"/>
      <c r="K26" s="179"/>
    </row>
    <row r="27" spans="1:11" ht="17">
      <c r="A27" s="179"/>
      <c r="B27" s="425" t="s">
        <v>636</v>
      </c>
      <c r="C27" s="425"/>
      <c r="D27" s="425"/>
      <c r="E27" s="181"/>
      <c r="F27" s="425" t="s">
        <v>637</v>
      </c>
      <c r="G27" s="425"/>
      <c r="H27" s="425"/>
      <c r="I27" s="180"/>
      <c r="J27" s="179"/>
      <c r="K27" s="179"/>
    </row>
    <row r="28" spans="1:11" ht="17">
      <c r="A28" s="179"/>
      <c r="B28" s="180"/>
      <c r="C28" s="180"/>
      <c r="D28" s="180"/>
      <c r="E28" s="181"/>
      <c r="F28" s="180"/>
      <c r="G28" s="180"/>
      <c r="H28" s="180"/>
      <c r="I28" s="180"/>
      <c r="J28" s="179"/>
      <c r="K28" s="179"/>
    </row>
    <row r="29" spans="1:11" ht="17">
      <c r="A29" s="179"/>
      <c r="B29" s="428"/>
      <c r="C29" s="427"/>
      <c r="D29" s="427"/>
      <c r="E29" s="181"/>
      <c r="F29" s="427"/>
      <c r="G29" s="427"/>
      <c r="H29" s="427"/>
      <c r="I29" s="182"/>
      <c r="J29" s="179"/>
      <c r="K29" s="179"/>
    </row>
    <row r="30" spans="1:11" ht="17">
      <c r="A30" s="179"/>
      <c r="B30" s="181"/>
      <c r="C30" s="181"/>
      <c r="D30" s="181"/>
      <c r="E30" s="181"/>
      <c r="F30" s="181"/>
      <c r="G30" s="181"/>
      <c r="H30" s="181"/>
      <c r="I30" s="181"/>
      <c r="J30" s="179"/>
      <c r="K30" s="179"/>
    </row>
    <row r="31" spans="1:11" ht="17">
      <c r="A31" s="179"/>
      <c r="B31" s="425" t="s">
        <v>638</v>
      </c>
      <c r="C31" s="425"/>
      <c r="D31" s="425"/>
      <c r="E31" s="181"/>
      <c r="F31" s="425" t="s">
        <v>639</v>
      </c>
      <c r="G31" s="425"/>
      <c r="H31" s="425"/>
      <c r="I31" s="180"/>
      <c r="J31" s="179"/>
      <c r="K31" s="179"/>
    </row>
    <row r="32" spans="1:11" ht="17">
      <c r="A32" s="179"/>
      <c r="B32" s="180"/>
      <c r="C32" s="180"/>
      <c r="D32" s="180"/>
      <c r="E32" s="181"/>
      <c r="F32" s="180"/>
      <c r="G32" s="180"/>
      <c r="H32" s="180"/>
      <c r="I32" s="180"/>
      <c r="J32" s="179"/>
      <c r="K32" s="179"/>
    </row>
    <row r="33" spans="1:11" ht="17">
      <c r="A33" s="179"/>
      <c r="B33" s="428"/>
      <c r="C33" s="427"/>
      <c r="D33" s="427"/>
      <c r="E33" s="181"/>
      <c r="F33" s="427" t="e">
        <f>#REF!</f>
        <v>#REF!</v>
      </c>
      <c r="G33" s="427"/>
      <c r="H33" s="427"/>
      <c r="I33" s="182"/>
      <c r="J33" s="179"/>
      <c r="K33" s="179"/>
    </row>
    <row r="34" spans="1:11" ht="17">
      <c r="A34" s="179"/>
      <c r="B34" s="181"/>
      <c r="C34" s="181"/>
      <c r="D34" s="181"/>
      <c r="E34" s="181"/>
      <c r="F34" s="181"/>
      <c r="G34" s="181"/>
      <c r="H34" s="181"/>
      <c r="I34" s="181"/>
      <c r="J34" s="179"/>
      <c r="K34" s="179"/>
    </row>
    <row r="35" spans="1:11" ht="17">
      <c r="A35" s="179"/>
      <c r="B35" s="425" t="s">
        <v>640</v>
      </c>
      <c r="C35" s="425"/>
      <c r="D35" s="425"/>
      <c r="E35" s="181"/>
      <c r="F35" s="425" t="s">
        <v>641</v>
      </c>
      <c r="G35" s="425"/>
      <c r="H35" s="425"/>
      <c r="I35" s="180"/>
      <c r="J35" s="179"/>
      <c r="K35" s="179"/>
    </row>
    <row r="36" spans="1:11" ht="17">
      <c r="A36" s="179"/>
      <c r="B36" s="180"/>
      <c r="C36" s="180"/>
      <c r="D36" s="180"/>
      <c r="E36" s="181"/>
      <c r="F36" s="180"/>
      <c r="G36" s="180"/>
      <c r="H36" s="180"/>
      <c r="I36" s="180"/>
      <c r="J36" s="179"/>
      <c r="K36" s="179"/>
    </row>
    <row r="37" spans="1:11" ht="17">
      <c r="A37" s="179"/>
      <c r="B37" s="428" t="e">
        <f>#REF!</f>
        <v>#REF!</v>
      </c>
      <c r="C37" s="427"/>
      <c r="D37" s="427"/>
      <c r="E37" s="181"/>
      <c r="F37" s="427"/>
      <c r="G37" s="427"/>
      <c r="H37" s="427"/>
      <c r="I37" s="182"/>
      <c r="J37" s="179"/>
      <c r="K37" s="179"/>
    </row>
    <row r="38" spans="1:11" ht="17">
      <c r="A38" s="179"/>
      <c r="B38" s="181"/>
      <c r="C38" s="181"/>
      <c r="D38" s="181"/>
      <c r="E38" s="181"/>
      <c r="F38" s="181"/>
      <c r="G38" s="181"/>
      <c r="H38" s="181"/>
      <c r="I38" s="181"/>
      <c r="J38" s="179"/>
      <c r="K38" s="179"/>
    </row>
    <row r="39" spans="1:11" ht="17">
      <c r="A39" s="179"/>
      <c r="B39" s="425" t="s">
        <v>642</v>
      </c>
      <c r="C39" s="425"/>
      <c r="D39" s="425"/>
      <c r="E39" s="181"/>
      <c r="F39" s="425"/>
      <c r="G39" s="425"/>
      <c r="H39" s="425"/>
      <c r="I39" s="180"/>
      <c r="J39" s="179"/>
      <c r="K39" s="179"/>
    </row>
    <row r="40" spans="1:11" ht="17">
      <c r="A40" s="179"/>
      <c r="B40" s="180"/>
      <c r="C40" s="180"/>
      <c r="D40" s="180"/>
      <c r="E40" s="181"/>
      <c r="F40" s="180"/>
      <c r="G40" s="180"/>
      <c r="H40" s="180"/>
      <c r="I40" s="180"/>
      <c r="J40" s="179"/>
      <c r="K40" s="179"/>
    </row>
    <row r="41" spans="1:11" ht="17">
      <c r="A41" s="179"/>
      <c r="B41" s="428"/>
      <c r="C41" s="427"/>
      <c r="D41" s="427"/>
      <c r="E41" s="181"/>
      <c r="F41" s="180"/>
      <c r="G41" s="180"/>
      <c r="H41" s="180"/>
      <c r="I41" s="182"/>
      <c r="J41" s="179"/>
      <c r="K41" s="179"/>
    </row>
    <row r="42" spans="1:11" ht="17">
      <c r="A42" s="179"/>
      <c r="B42" s="181"/>
      <c r="C42" s="181"/>
      <c r="D42" s="181"/>
      <c r="E42" s="181"/>
      <c r="F42" s="181"/>
      <c r="G42" s="181"/>
      <c r="H42" s="181"/>
      <c r="I42" s="181"/>
      <c r="J42" s="179"/>
      <c r="K42" s="179"/>
    </row>
    <row r="43" spans="1:11" ht="2" customHeight="1">
      <c r="A43" s="183"/>
      <c r="B43" s="183"/>
      <c r="C43" s="183"/>
      <c r="D43" s="183"/>
      <c r="E43" s="183"/>
      <c r="F43" s="183"/>
      <c r="G43" s="183"/>
      <c r="H43" s="183"/>
      <c r="I43" s="183"/>
      <c r="J43" s="183"/>
      <c r="K43" s="183"/>
    </row>
    <row r="44" spans="1:11" ht="17">
      <c r="A44" s="179"/>
      <c r="B44" s="179"/>
      <c r="C44" s="179"/>
      <c r="D44" s="179"/>
      <c r="E44" s="179"/>
      <c r="F44" s="179"/>
      <c r="G44" s="179"/>
      <c r="H44" s="179"/>
      <c r="I44" s="179"/>
      <c r="J44" s="179"/>
      <c r="K44" s="179"/>
    </row>
    <row r="45" spans="1:11" ht="18.5">
      <c r="A45" s="179"/>
      <c r="B45" s="426" t="s">
        <v>652</v>
      </c>
      <c r="C45" s="426"/>
      <c r="D45" s="426"/>
      <c r="E45" s="426"/>
      <c r="F45" s="426"/>
      <c r="G45" s="426"/>
      <c r="H45" s="426"/>
      <c r="I45" s="426"/>
      <c r="J45" s="179"/>
      <c r="K45" s="179"/>
    </row>
    <row r="46" spans="1:11" ht="17">
      <c r="A46" s="179"/>
      <c r="B46" s="179"/>
      <c r="C46" s="179"/>
      <c r="D46" s="179"/>
      <c r="E46" s="179"/>
      <c r="F46" s="179"/>
      <c r="G46" s="179"/>
      <c r="H46" s="179"/>
      <c r="I46" s="179"/>
      <c r="J46" s="179"/>
      <c r="K46" s="179"/>
    </row>
    <row r="47" spans="1:11" ht="17">
      <c r="A47" s="179"/>
      <c r="B47" s="425" t="s">
        <v>653</v>
      </c>
      <c r="C47" s="425"/>
      <c r="D47" s="425"/>
      <c r="E47" s="179"/>
      <c r="F47" s="179"/>
      <c r="G47" s="179"/>
      <c r="H47" s="179"/>
      <c r="I47" s="179"/>
      <c r="J47" s="179"/>
      <c r="K47" s="179"/>
    </row>
    <row r="48" spans="1:11" ht="17">
      <c r="A48" s="179"/>
      <c r="B48" s="179"/>
      <c r="C48" s="179"/>
      <c r="D48" s="179"/>
      <c r="E48" s="179"/>
      <c r="F48" s="179"/>
      <c r="G48" s="179"/>
      <c r="H48" s="179"/>
      <c r="I48" s="179"/>
      <c r="J48" s="179"/>
      <c r="K48" s="179"/>
    </row>
    <row r="49" spans="1:11" ht="17">
      <c r="A49" s="179"/>
      <c r="B49" s="427" t="s">
        <v>1638</v>
      </c>
      <c r="C49" s="427"/>
      <c r="D49" s="427"/>
      <c r="E49" s="179"/>
      <c r="F49" s="179"/>
      <c r="G49" s="179"/>
      <c r="H49" s="179"/>
      <c r="I49" s="179"/>
      <c r="J49" s="179"/>
      <c r="K49" s="179"/>
    </row>
    <row r="50" spans="1:11" ht="17">
      <c r="A50" s="179"/>
      <c r="B50" s="179"/>
      <c r="C50" s="179"/>
      <c r="D50" s="179"/>
      <c r="E50" s="179"/>
      <c r="F50" s="179"/>
      <c r="G50" s="179"/>
      <c r="H50" s="179"/>
      <c r="I50" s="179"/>
      <c r="J50" s="179"/>
      <c r="K50" s="179"/>
    </row>
    <row r="51" spans="1:11" ht="17">
      <c r="A51" s="179"/>
      <c r="B51" s="425" t="s">
        <v>654</v>
      </c>
      <c r="C51" s="425"/>
      <c r="D51" s="425"/>
      <c r="E51" s="179"/>
      <c r="F51" s="179"/>
      <c r="G51" s="179"/>
      <c r="H51" s="179"/>
      <c r="I51" s="179"/>
      <c r="J51" s="179"/>
      <c r="K51" s="179"/>
    </row>
    <row r="52" spans="1:11" ht="17">
      <c r="A52" s="179"/>
      <c r="B52" s="184" t="s">
        <v>655</v>
      </c>
      <c r="C52" s="179"/>
      <c r="D52" s="179"/>
      <c r="E52" s="179"/>
      <c r="F52" s="179"/>
      <c r="G52" s="179"/>
      <c r="H52" s="179"/>
      <c r="I52" s="179"/>
      <c r="J52" s="179"/>
      <c r="K52" s="179"/>
    </row>
    <row r="53" spans="1:11" ht="17">
      <c r="A53" s="179"/>
      <c r="B53" s="185">
        <f>SUBTOTAL(4,$F$55:$F$64)</f>
        <v>5</v>
      </c>
      <c r="C53" s="179"/>
      <c r="D53" s="179"/>
      <c r="E53" s="179"/>
      <c r="F53" s="179"/>
      <c r="G53" s="179"/>
      <c r="H53" s="179"/>
      <c r="I53" s="179"/>
      <c r="J53" s="179"/>
      <c r="K53" s="179"/>
    </row>
    <row r="54" spans="1:11" ht="17">
      <c r="A54" s="179"/>
      <c r="B54" s="186" t="s">
        <v>656</v>
      </c>
      <c r="C54" s="430" t="s">
        <v>657</v>
      </c>
      <c r="D54" s="430"/>
      <c r="E54" s="430"/>
      <c r="F54" s="179"/>
      <c r="G54" s="179"/>
      <c r="H54" s="179"/>
      <c r="I54" s="179"/>
      <c r="J54" s="179"/>
      <c r="K54" s="179"/>
    </row>
    <row r="55" spans="1:11" ht="17">
      <c r="A55" s="179"/>
      <c r="B55" s="10" t="s">
        <v>1639</v>
      </c>
      <c r="C55" s="429" t="s">
        <v>662</v>
      </c>
      <c r="D55" s="429"/>
      <c r="E55" s="429"/>
      <c r="F55" s="185">
        <f>IF(NOT(ISBLANK(C55)),ROWS($C$54:C55),"")</f>
        <v>2</v>
      </c>
      <c r="G55" s="179"/>
      <c r="H55" s="179"/>
      <c r="I55" s="179"/>
      <c r="J55" s="179"/>
      <c r="K55" s="179"/>
    </row>
    <row r="56" spans="1:11" ht="17">
      <c r="A56" s="179"/>
      <c r="B56" s="10" t="s">
        <v>1640</v>
      </c>
      <c r="C56" s="429" t="s">
        <v>662</v>
      </c>
      <c r="D56" s="429"/>
      <c r="E56" s="429"/>
      <c r="F56" s="185">
        <f>IF(NOT(ISBLANK(C56)),ROWS($C$54:C56),"")</f>
        <v>3</v>
      </c>
      <c r="G56" s="179"/>
      <c r="H56" s="179"/>
      <c r="I56" s="179"/>
      <c r="J56" s="179"/>
      <c r="K56" s="179"/>
    </row>
    <row r="57" spans="1:11" ht="17">
      <c r="A57" s="179"/>
      <c r="B57" s="10" t="s">
        <v>1641</v>
      </c>
      <c r="C57" s="429" t="s">
        <v>662</v>
      </c>
      <c r="D57" s="429"/>
      <c r="E57" s="429"/>
      <c r="F57" s="185">
        <f>IF(NOT(ISBLANK(C57)),ROWS($C$54:C57),"")</f>
        <v>4</v>
      </c>
      <c r="G57" s="179"/>
      <c r="H57" s="179"/>
      <c r="I57" s="179"/>
      <c r="J57" s="179"/>
      <c r="K57" s="179"/>
    </row>
    <row r="58" spans="1:11" ht="17">
      <c r="A58" s="179"/>
      <c r="B58" s="10" t="s">
        <v>1642</v>
      </c>
      <c r="C58" s="429" t="s">
        <v>662</v>
      </c>
      <c r="D58" s="429"/>
      <c r="E58" s="429"/>
      <c r="F58" s="185">
        <f>IF(NOT(ISBLANK(C58)),ROWS($C$54:C58),"")</f>
        <v>5</v>
      </c>
      <c r="G58" s="179"/>
      <c r="H58" s="179"/>
      <c r="I58" s="179"/>
      <c r="J58" s="179"/>
      <c r="K58" s="179"/>
    </row>
    <row r="59" spans="1:11" ht="17">
      <c r="A59" s="179"/>
      <c r="B59" s="10"/>
      <c r="C59" s="429"/>
      <c r="D59" s="429"/>
      <c r="E59" s="429"/>
      <c r="F59" s="185" t="str">
        <f>IF(NOT(ISBLANK(C59)),ROWS($C$54:C59),"")</f>
        <v/>
      </c>
      <c r="G59" s="179"/>
      <c r="H59" s="179"/>
      <c r="I59" s="179"/>
      <c r="J59" s="179"/>
      <c r="K59" s="179"/>
    </row>
    <row r="60" spans="1:11" ht="17" hidden="1">
      <c r="A60" s="179"/>
      <c r="B60" s="10"/>
      <c r="C60" s="429"/>
      <c r="D60" s="429"/>
      <c r="E60" s="429"/>
      <c r="F60" s="185" t="str">
        <f>IF(NOT(ISBLANK(C60)),ROWS($C$54:C60),"")</f>
        <v/>
      </c>
      <c r="G60" s="179"/>
      <c r="H60" s="179"/>
      <c r="I60" s="179"/>
      <c r="J60" s="179"/>
      <c r="K60" s="179"/>
    </row>
    <row r="61" spans="1:11" ht="17" hidden="1">
      <c r="A61" s="179"/>
      <c r="B61" s="10"/>
      <c r="C61" s="429"/>
      <c r="D61" s="429"/>
      <c r="E61" s="429"/>
      <c r="F61" s="185" t="str">
        <f>IF(NOT(ISBLANK(C61)),ROWS($C$54:C61),"")</f>
        <v/>
      </c>
      <c r="G61" s="179"/>
      <c r="H61" s="179"/>
      <c r="I61" s="179"/>
      <c r="J61" s="179"/>
      <c r="K61" s="179"/>
    </row>
    <row r="62" spans="1:11" ht="17" hidden="1">
      <c r="A62" s="179"/>
      <c r="B62" s="10"/>
      <c r="C62" s="429"/>
      <c r="D62" s="429"/>
      <c r="E62" s="429"/>
      <c r="F62" s="185" t="str">
        <f>IF(NOT(ISBLANK(C62)),ROWS($C$54:C62),"")</f>
        <v/>
      </c>
      <c r="G62" s="179"/>
      <c r="H62" s="179"/>
      <c r="I62" s="179"/>
      <c r="J62" s="179"/>
      <c r="K62" s="179"/>
    </row>
    <row r="63" spans="1:11" ht="17" hidden="1">
      <c r="A63" s="179"/>
      <c r="B63" s="10"/>
      <c r="C63" s="429"/>
      <c r="D63" s="429"/>
      <c r="E63" s="429"/>
      <c r="F63" s="185" t="str">
        <f>IF(NOT(ISBLANK(C63)),ROWS($C$54:C63),"")</f>
        <v/>
      </c>
      <c r="G63" s="179"/>
      <c r="H63" s="179"/>
      <c r="I63" s="179"/>
      <c r="J63" s="179"/>
      <c r="K63" s="179"/>
    </row>
    <row r="64" spans="1:11" ht="17" hidden="1">
      <c r="A64" s="179"/>
      <c r="B64" s="10"/>
      <c r="C64" s="429"/>
      <c r="D64" s="429"/>
      <c r="E64" s="429"/>
      <c r="F64" s="185" t="str">
        <f>IF(NOT(ISBLANK(C64)),ROWS($C$54:C64),"")</f>
        <v/>
      </c>
      <c r="G64" s="179"/>
      <c r="H64" s="179"/>
      <c r="I64" s="179"/>
      <c r="J64" s="179"/>
      <c r="K64" s="179"/>
    </row>
    <row r="65" spans="1:11" ht="17">
      <c r="A65" s="179"/>
      <c r="B65" s="179"/>
      <c r="C65" s="179"/>
      <c r="D65" s="179"/>
      <c r="E65" s="179"/>
      <c r="F65" s="179"/>
      <c r="G65" s="179"/>
      <c r="H65" s="179"/>
      <c r="I65" s="179"/>
      <c r="J65" s="179"/>
      <c r="K65" s="179"/>
    </row>
    <row r="66" spans="1:11" ht="17">
      <c r="A66" s="179"/>
      <c r="B66" s="179"/>
      <c r="C66" s="179"/>
      <c r="D66" s="179"/>
      <c r="E66" s="179"/>
      <c r="F66" s="179"/>
      <c r="G66" s="179"/>
      <c r="H66" s="179"/>
      <c r="I66" s="179"/>
      <c r="J66" s="179"/>
      <c r="K66" s="179"/>
    </row>
  </sheetData>
  <sheetProtection sheet="1" objects="1" scenarios="1" selectLockedCells="1"/>
  <mergeCells count="44">
    <mergeCell ref="C62:E62"/>
    <mergeCell ref="C63:E63"/>
    <mergeCell ref="C64:E64"/>
    <mergeCell ref="C57:E57"/>
    <mergeCell ref="C58:E58"/>
    <mergeCell ref="C59:E59"/>
    <mergeCell ref="C60:E60"/>
    <mergeCell ref="C61:E61"/>
    <mergeCell ref="C55:E55"/>
    <mergeCell ref="C56:E56"/>
    <mergeCell ref="C54:E54"/>
    <mergeCell ref="B45:I45"/>
    <mergeCell ref="B47:D47"/>
    <mergeCell ref="B49:D49"/>
    <mergeCell ref="B51:D51"/>
    <mergeCell ref="B37:D37"/>
    <mergeCell ref="F37:H37"/>
    <mergeCell ref="B39:D39"/>
    <mergeCell ref="F39:H39"/>
    <mergeCell ref="B41:D41"/>
    <mergeCell ref="B31:D31"/>
    <mergeCell ref="F31:H31"/>
    <mergeCell ref="B33:D33"/>
    <mergeCell ref="F33:H33"/>
    <mergeCell ref="B35:D35"/>
    <mergeCell ref="F35:H35"/>
    <mergeCell ref="B25:D25"/>
    <mergeCell ref="F25:H25"/>
    <mergeCell ref="B27:D27"/>
    <mergeCell ref="F27:H27"/>
    <mergeCell ref="B29:D29"/>
    <mergeCell ref="F29:H29"/>
    <mergeCell ref="B19:D19"/>
    <mergeCell ref="F19:H19"/>
    <mergeCell ref="B21:D21"/>
    <mergeCell ref="F21:H21"/>
    <mergeCell ref="B23:D23"/>
    <mergeCell ref="F23:H23"/>
    <mergeCell ref="B9:D9"/>
    <mergeCell ref="B13:I13"/>
    <mergeCell ref="B15:D15"/>
    <mergeCell ref="F15:H15"/>
    <mergeCell ref="B17:D17"/>
    <mergeCell ref="F17:H17"/>
  </mergeCells>
  <dataValidations count="2">
    <dataValidation type="list" allowBlank="1" showInputMessage="1" showErrorMessage="1" sqref="B49:D49" xr:uid="{00000000-0002-0000-0200-000000000000}">
      <formula1>"Arable Crops, Fruits and Vegetables, Perennials, Mixed System"</formula1>
    </dataValidation>
    <dataValidation type="list" allowBlank="1" showInputMessage="1" showErrorMessage="1" sqref="C55:C64" xr:uid="{00000000-0002-0000-0200-000001000000}">
      <formula1>"Yes,No"</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elf_Assess"/>
  <dimension ref="A1:Y235"/>
  <sheetViews>
    <sheetView showGridLines="0" topLeftCell="B91" zoomScale="75" zoomScaleNormal="70" workbookViewId="0">
      <selection activeCell="F93" sqref="F93"/>
    </sheetView>
  </sheetViews>
  <sheetFormatPr defaultColWidth="8.81640625" defaultRowHeight="18.5"/>
  <cols>
    <col min="1" max="1" width="1.453125" customWidth="1"/>
    <col min="2" max="2" width="2.453125" customWidth="1"/>
    <col min="3" max="3" width="2.453125" style="18" customWidth="1"/>
    <col min="4" max="4" width="11.453125" bestFit="1" customWidth="1"/>
    <col min="5" max="5" width="80.453125" customWidth="1"/>
    <col min="6" max="6" width="18.36328125" customWidth="1"/>
    <col min="7" max="7" width="14.36328125" style="168" customWidth="1"/>
    <col min="8" max="8" width="14.6328125" style="165" customWidth="1"/>
    <col min="9" max="9" width="13" style="2" bestFit="1" customWidth="1"/>
    <col min="10" max="10" width="11.36328125" style="168" hidden="1" customWidth="1"/>
    <col min="11" max="11" width="18.6328125" style="148" hidden="1" customWidth="1"/>
    <col min="12" max="12" width="22.453125" bestFit="1" customWidth="1"/>
    <col min="13" max="13" width="5.6328125" style="16" customWidth="1"/>
    <col min="14" max="14" width="50.453125" customWidth="1"/>
    <col min="15" max="15" width="80.453125" customWidth="1"/>
    <col min="16" max="16" width="50.453125" customWidth="1"/>
    <col min="17" max="17" width="21.1796875" customWidth="1"/>
    <col min="18" max="18" width="5.81640625" customWidth="1"/>
    <col min="19" max="19" width="6" customWidth="1"/>
    <col min="20" max="20" width="6.36328125" customWidth="1"/>
    <col min="21" max="22" width="10.1796875" hidden="1" customWidth="1"/>
    <col min="23" max="23" width="6.6328125" hidden="1" customWidth="1"/>
    <col min="24" max="24" width="8.6328125" hidden="1" customWidth="1"/>
    <col min="25" max="25" width="9" hidden="1" customWidth="1"/>
    <col min="26" max="26" width="7.1796875" customWidth="1"/>
  </cols>
  <sheetData>
    <row r="1" spans="2:25" ht="14.5">
      <c r="C1"/>
      <c r="M1"/>
    </row>
    <row r="2" spans="2:25" ht="14.5">
      <c r="C2"/>
      <c r="M2"/>
    </row>
    <row r="3" spans="2:25" ht="14.5">
      <c r="C3"/>
      <c r="M3"/>
    </row>
    <row r="4" spans="2:25" ht="14.5">
      <c r="C4"/>
      <c r="M4"/>
    </row>
    <row r="5" spans="2:25" ht="14.5">
      <c r="C5"/>
      <c r="M5"/>
    </row>
    <row r="6" spans="2:25" ht="14.5">
      <c r="C6"/>
      <c r="M6"/>
    </row>
    <row r="7" spans="2:25" ht="14.5">
      <c r="C7"/>
      <c r="M7"/>
    </row>
    <row r="8" spans="2:25" ht="14.5">
      <c r="C8"/>
      <c r="M8"/>
    </row>
    <row r="9" spans="2:25" ht="18">
      <c r="B9" s="119"/>
      <c r="C9" s="14"/>
      <c r="D9" s="13"/>
      <c r="E9" s="15"/>
      <c r="F9" s="15"/>
      <c r="G9" s="170"/>
      <c r="H9" s="167"/>
      <c r="I9" s="12"/>
      <c r="J9" s="170"/>
      <c r="K9" s="149"/>
      <c r="L9" s="120"/>
      <c r="M9" s="120"/>
      <c r="N9" s="120"/>
      <c r="O9" s="120"/>
      <c r="P9" s="120"/>
      <c r="Q9" s="120"/>
      <c r="R9" s="120"/>
      <c r="S9" s="120"/>
      <c r="T9" s="120"/>
    </row>
    <row r="10" spans="2:25">
      <c r="B10" s="119"/>
      <c r="C10" s="14"/>
      <c r="D10" s="13"/>
      <c r="E10" s="15"/>
      <c r="F10" s="15"/>
      <c r="H10" s="167"/>
      <c r="I10" s="12"/>
      <c r="J10" s="172"/>
      <c r="K10" s="150"/>
      <c r="L10" s="176"/>
      <c r="N10" s="16"/>
      <c r="O10" s="16"/>
      <c r="P10" s="16"/>
      <c r="Q10" s="16"/>
      <c r="R10" s="16"/>
      <c r="S10" s="16"/>
      <c r="T10" s="120"/>
    </row>
    <row r="11" spans="2:25" ht="18.75" customHeight="1">
      <c r="B11" s="121"/>
      <c r="C11" s="17"/>
      <c r="D11" s="431" t="str">
        <f>IF(AND(References!$B$11,References!$B$12),"FSA + REGEN AG And CSDDD Questionnaire",IF(AND(NOT(References!$B$11),References!$B$12),"FSA + CSDDD Questionnaire",IF(AND(References!$B$11,NOT(References!$B$12)),"FSA + REGEN AG Questionnaire","FSA Questionnaire")))</f>
        <v>FSA + REGEN AG And CSDDD Questionnaire</v>
      </c>
      <c r="E11" s="431"/>
      <c r="F11" s="431"/>
      <c r="G11" s="431"/>
      <c r="H11" s="431"/>
      <c r="I11" s="431"/>
      <c r="J11" s="431"/>
      <c r="K11" s="431"/>
      <c r="L11" s="431"/>
      <c r="N11" s="118"/>
      <c r="O11" s="118"/>
      <c r="P11" s="118"/>
      <c r="Q11" s="118"/>
      <c r="R11" s="16"/>
      <c r="T11" s="120"/>
    </row>
    <row r="12" spans="2:25" ht="18.75" customHeight="1">
      <c r="B12" s="121"/>
      <c r="C12" s="17"/>
      <c r="D12" s="431"/>
      <c r="E12" s="431"/>
      <c r="F12" s="431"/>
      <c r="G12" s="431"/>
      <c r="H12" s="431"/>
      <c r="I12" s="431"/>
      <c r="J12" s="431"/>
      <c r="K12" s="431"/>
      <c r="L12" s="431"/>
      <c r="N12" s="118"/>
      <c r="O12" s="118"/>
      <c r="P12" s="118"/>
      <c r="Q12" s="118"/>
      <c r="R12" s="16"/>
      <c r="T12" s="120"/>
    </row>
    <row r="13" spans="2:25">
      <c r="B13" s="122"/>
      <c r="K13" s="152"/>
      <c r="L13" s="176"/>
      <c r="P13" s="16"/>
      <c r="Q13" s="16"/>
      <c r="R13" s="16"/>
      <c r="T13" s="120"/>
    </row>
    <row r="14" spans="2:25">
      <c r="B14" s="122"/>
      <c r="D14" s="154" t="s">
        <v>978</v>
      </c>
      <c r="E14" s="155" t="s">
        <v>980</v>
      </c>
      <c r="F14" s="155" t="s">
        <v>1635</v>
      </c>
      <c r="G14" s="177" t="s">
        <v>979</v>
      </c>
      <c r="H14" s="177" t="s">
        <v>658</v>
      </c>
      <c r="I14" s="155" t="s">
        <v>659</v>
      </c>
      <c r="J14" s="173" t="s">
        <v>981</v>
      </c>
      <c r="K14" s="157" t="s">
        <v>1407</v>
      </c>
      <c r="L14" s="190" t="s">
        <v>1422</v>
      </c>
      <c r="M14" s="191" t="s">
        <v>1417</v>
      </c>
      <c r="N14" s="154" t="s">
        <v>984</v>
      </c>
      <c r="O14" s="155" t="s">
        <v>985</v>
      </c>
      <c r="P14" s="155" t="s">
        <v>986</v>
      </c>
      <c r="Q14" s="156" t="s">
        <v>987</v>
      </c>
      <c r="R14" s="158"/>
      <c r="S14" s="158"/>
      <c r="T14" s="158"/>
      <c r="V14" t="s">
        <v>982</v>
      </c>
      <c r="W14" t="s">
        <v>983</v>
      </c>
      <c r="X14" t="s">
        <v>1408</v>
      </c>
      <c r="Y14" t="s">
        <v>1409</v>
      </c>
    </row>
    <row r="15" spans="2:25" ht="18" hidden="1">
      <c r="B15" s="123"/>
      <c r="D15" s="238"/>
      <c r="E15" s="239" t="s">
        <v>1341</v>
      </c>
      <c r="F15" s="239"/>
      <c r="G15" s="240"/>
      <c r="H15" s="240"/>
      <c r="I15" s="240"/>
      <c r="J15" s="163" t="s">
        <v>982</v>
      </c>
      <c r="K15" s="150" t="str">
        <f t="shared" ref="K15:K77" si="0">Y15</f>
        <v>VISIBLE</v>
      </c>
      <c r="L15" s="240" t="str">
        <f t="shared" ref="L15" si="1">IF(AND(W15=1,X15=1),"REGEN &amp; CSDDD",IF(AND(W15=1,ISBLANK(X15)),"REGEN",IF(AND(ISBLANK(W15),X15=1),"CSDDD","")))</f>
        <v/>
      </c>
      <c r="M15" s="235"/>
      <c r="N15" s="262"/>
      <c r="O15" s="262"/>
      <c r="P15" s="262"/>
      <c r="Q15" s="262"/>
      <c r="R15" s="159"/>
      <c r="S15" s="159"/>
      <c r="T15" s="159"/>
      <c r="U15" t="s">
        <v>1476</v>
      </c>
      <c r="V15" t="s">
        <v>982</v>
      </c>
      <c r="W15" t="s">
        <v>983</v>
      </c>
      <c r="X15" t="s">
        <v>1408</v>
      </c>
      <c r="Y15" t="s">
        <v>1409</v>
      </c>
    </row>
    <row r="16" spans="2:25" ht="237.5" hidden="1">
      <c r="B16" s="123"/>
      <c r="D16" s="231" t="s">
        <v>660</v>
      </c>
      <c r="E16" s="236" t="s">
        <v>661</v>
      </c>
      <c r="F16" s="236" t="str">
        <f>'Checklist 2026'!F19</f>
        <v>Sim</v>
      </c>
      <c r="G16" s="233" t="str">
        <f>IF(queData[[#This Row],[Responder]]="Sim","Yes",IF(queData[[#This Row],[Responder]]="N/A","Yes","No"))</f>
        <v>Yes</v>
      </c>
      <c r="H16" s="265" t="s">
        <v>663</v>
      </c>
      <c r="I16" s="231" t="s">
        <v>664</v>
      </c>
      <c r="J16" s="162" t="s">
        <v>982</v>
      </c>
      <c r="K16" s="150">
        <f t="shared" si="0"/>
        <v>1</v>
      </c>
      <c r="L16" s="234" t="str">
        <f>IF(AND(W16=1,X16=1),"REGEN &amp; DUE DILIGENCE",IF(AND(W16=1,ISBLANK(X16)),"REGEN",IF(AND(ISBLANK(W16),X16=1),"DUE DILIGENCE","")))</f>
        <v/>
      </c>
      <c r="M16" s="235"/>
      <c r="N16" s="264" t="s">
        <v>988</v>
      </c>
      <c r="O16" s="237" t="s">
        <v>989</v>
      </c>
      <c r="P16" s="237" t="s">
        <v>990</v>
      </c>
      <c r="Q16" s="237" t="s">
        <v>991</v>
      </c>
      <c r="R16" s="159"/>
      <c r="S16" s="159"/>
      <c r="T16" s="159"/>
      <c r="U16" t="e">
        <f>VLOOKUP(queData[[#This Row],[Code]],RegenAg!$B$52:$C$76,2,0)=1</f>
        <v>#N/A</v>
      </c>
      <c r="Y16">
        <f>IF(AND(References!$B$11,References!$B$12),1,IF(References!$B$11,IF(J16="CSDDD",0,1),IF(References!$B$12,IF(J16="REGEN",0,1),IF(J16="FSA",1,0))))</f>
        <v>1</v>
      </c>
    </row>
    <row r="17" spans="2:25" ht="100" hidden="1">
      <c r="B17" s="123"/>
      <c r="D17" s="231" t="s">
        <v>665</v>
      </c>
      <c r="E17" s="236" t="s">
        <v>666</v>
      </c>
      <c r="F17" s="236" t="str">
        <f>'Checklist 2026'!F19</f>
        <v>Sim</v>
      </c>
      <c r="G17" s="233" t="str">
        <f>IF(queData[[#This Row],[Responder]]="Sim","Yes",IF(queData[[#This Row],[Responder]]="N/A","Yes","No"))</f>
        <v>Yes</v>
      </c>
      <c r="H17" s="265" t="s">
        <v>663</v>
      </c>
      <c r="I17" s="231" t="s">
        <v>664</v>
      </c>
      <c r="J17" s="162" t="s">
        <v>982</v>
      </c>
      <c r="K17" s="150">
        <f t="shared" si="0"/>
        <v>1</v>
      </c>
      <c r="L17" s="234" t="str">
        <f t="shared" ref="L17:L46" si="2">IF(AND(W17=1,X17=1),"REGEN &amp; DUE DILIGENCE",IF(AND(W17=1,ISBLANK(X17)),"REGEN",IF(AND(ISBLANK(W17),X17=1),"DUE DILIGENCE","")))</f>
        <v/>
      </c>
      <c r="M17" s="235"/>
      <c r="N17" s="264" t="s">
        <v>992</v>
      </c>
      <c r="O17" s="237" t="s">
        <v>993</v>
      </c>
      <c r="P17" s="237" t="s">
        <v>994</v>
      </c>
      <c r="Q17" s="237" t="s">
        <v>991</v>
      </c>
      <c r="R17" s="159"/>
      <c r="S17" s="159"/>
      <c r="T17" s="159"/>
      <c r="U17" t="e">
        <f>VLOOKUP(queData[[#This Row],[Code]],RegenAg!$B$52:$C$76,2,0)=1</f>
        <v>#N/A</v>
      </c>
      <c r="Y17">
        <f>IF(AND(References!$B$11,References!$B$12),1,IF(References!$B$11,IF(J17="CSDDD",0,1),IF(References!$B$12,IF(J17="REGEN",0,1),IF(J17="FSA",1,0))))</f>
        <v>1</v>
      </c>
    </row>
    <row r="18" spans="2:25" ht="87.5" hidden="1">
      <c r="B18" s="123"/>
      <c r="D18" s="231" t="s">
        <v>667</v>
      </c>
      <c r="E18" s="236" t="s">
        <v>668</v>
      </c>
      <c r="F18" s="236" t="str">
        <f>'Checklist 2026'!F21</f>
        <v>Sim</v>
      </c>
      <c r="G18" s="233" t="str">
        <f>IF(queData[[#This Row],[Responder]]="Sim","Yes",IF(queData[[#This Row],[Responder]]="N/A","Yes","No"))</f>
        <v>Yes</v>
      </c>
      <c r="H18" s="265" t="s">
        <v>663</v>
      </c>
      <c r="I18" s="231" t="s">
        <v>664</v>
      </c>
      <c r="J18" s="162" t="s">
        <v>982</v>
      </c>
      <c r="K18" s="150">
        <f t="shared" si="0"/>
        <v>1</v>
      </c>
      <c r="L18" s="234" t="str">
        <f t="shared" si="2"/>
        <v/>
      </c>
      <c r="M18" s="235"/>
      <c r="N18" s="237" t="s">
        <v>995</v>
      </c>
      <c r="O18" s="237" t="s">
        <v>996</v>
      </c>
      <c r="P18" s="237"/>
      <c r="Q18" s="237" t="s">
        <v>997</v>
      </c>
      <c r="R18" s="159"/>
      <c r="S18" s="159"/>
      <c r="T18" s="159"/>
      <c r="U18" t="e">
        <f>VLOOKUP(queData[[#This Row],[Code]],RegenAg!$B$52:$C$76,2,0)=1</f>
        <v>#N/A</v>
      </c>
      <c r="Y18">
        <f>IF(AND(References!$B$11,References!$B$12),1,IF(References!$B$11,IF(J18="CSDDD",0,1),IF(References!$B$12,IF(J18="REGEN",0,1),IF(J18="FSA",1,0))))</f>
        <v>1</v>
      </c>
    </row>
    <row r="19" spans="2:25" ht="87.5" hidden="1">
      <c r="B19" s="123"/>
      <c r="D19" s="231" t="s">
        <v>669</v>
      </c>
      <c r="E19" s="236" t="s">
        <v>670</v>
      </c>
      <c r="F19" s="236" t="str">
        <f>'Checklist 2026'!F35</f>
        <v>Sim</v>
      </c>
      <c r="G19" s="233" t="str">
        <f>IF(queData[[#This Row],[Responder]]="Sim","Yes",IF(queData[[#This Row],[Responder]]="N/A","Yes","No"))</f>
        <v>Yes</v>
      </c>
      <c r="H19" s="265" t="s">
        <v>663</v>
      </c>
      <c r="I19" s="231" t="s">
        <v>664</v>
      </c>
      <c r="J19" s="162" t="s">
        <v>982</v>
      </c>
      <c r="K19" s="150">
        <f t="shared" si="0"/>
        <v>1</v>
      </c>
      <c r="L19" s="234" t="str">
        <f t="shared" si="2"/>
        <v/>
      </c>
      <c r="M19" s="235"/>
      <c r="N19" s="237" t="s">
        <v>998</v>
      </c>
      <c r="O19" s="237" t="s">
        <v>999</v>
      </c>
      <c r="P19" s="237"/>
      <c r="Q19" s="237"/>
      <c r="R19" s="159"/>
      <c r="S19" s="159"/>
      <c r="T19" s="159"/>
      <c r="U19" t="e">
        <f>VLOOKUP(queData[[#This Row],[Code]],RegenAg!$B$52:$C$76,2,0)=1</f>
        <v>#N/A</v>
      </c>
      <c r="Y19">
        <f>IF(AND(References!$B$11,References!$B$12),1,IF(References!$B$11,IF(J19="CSDDD",0,1),IF(References!$B$12,IF(J19="REGEN",0,1),IF(J19="FSA",1,0))))</f>
        <v>1</v>
      </c>
    </row>
    <row r="20" spans="2:25" ht="137.5" hidden="1">
      <c r="B20" s="123"/>
      <c r="D20" s="231" t="s">
        <v>671</v>
      </c>
      <c r="E20" s="236" t="s">
        <v>672</v>
      </c>
      <c r="F20" s="236" t="str">
        <f>'Checklist 2026'!F35</f>
        <v>Sim</v>
      </c>
      <c r="G20" s="233" t="str">
        <f>IF(queData[[#This Row],[Responder]]="Sim","Yes",IF(queData[[#This Row],[Responder]]="N/A","Yes","No"))</f>
        <v>Yes</v>
      </c>
      <c r="H20" s="265" t="s">
        <v>663</v>
      </c>
      <c r="I20" s="231" t="s">
        <v>664</v>
      </c>
      <c r="J20" s="162" t="s">
        <v>982</v>
      </c>
      <c r="K20" s="150">
        <f t="shared" si="0"/>
        <v>1</v>
      </c>
      <c r="L20" s="234" t="str">
        <f t="shared" si="2"/>
        <v/>
      </c>
      <c r="M20" s="235"/>
      <c r="N20" s="237" t="s">
        <v>1000</v>
      </c>
      <c r="O20" s="237" t="s">
        <v>1001</v>
      </c>
      <c r="P20" s="237" t="s">
        <v>1002</v>
      </c>
      <c r="Q20" s="237"/>
      <c r="R20" s="159"/>
      <c r="S20" s="159"/>
      <c r="T20" s="159"/>
      <c r="U20" t="e">
        <f>VLOOKUP(queData[[#This Row],[Code]],RegenAg!$B$52:$C$76,2,0)=1</f>
        <v>#N/A</v>
      </c>
      <c r="Y20">
        <f>IF(AND(References!$B$11,References!$B$12),1,IF(References!$B$11,IF(J20="CSDDD",0,1),IF(References!$B$12,IF(J20="REGEN",0,1),IF(J20="FSA",1,0))))</f>
        <v>1</v>
      </c>
    </row>
    <row r="21" spans="2:25" ht="187.5" hidden="1">
      <c r="B21" s="123"/>
      <c r="D21" s="231" t="s">
        <v>673</v>
      </c>
      <c r="E21" s="236" t="s">
        <v>674</v>
      </c>
      <c r="F21" s="295"/>
      <c r="G21" s="296"/>
      <c r="H21" s="266"/>
      <c r="I21" s="231" t="s">
        <v>664</v>
      </c>
      <c r="J21" s="162" t="s">
        <v>982</v>
      </c>
      <c r="K21" s="150">
        <f t="shared" si="0"/>
        <v>1</v>
      </c>
      <c r="L21" s="234" t="str">
        <f t="shared" si="2"/>
        <v/>
      </c>
      <c r="M21" s="235"/>
      <c r="N21" s="237" t="s">
        <v>1003</v>
      </c>
      <c r="O21" s="237" t="s">
        <v>1004</v>
      </c>
      <c r="P21" s="237" t="s">
        <v>1005</v>
      </c>
      <c r="Q21" s="237"/>
      <c r="R21" s="159"/>
      <c r="S21" s="159"/>
      <c r="T21" s="159"/>
      <c r="U21" t="e">
        <f>VLOOKUP(queData[[#This Row],[Code]],RegenAg!$B$52:$C$76,2,0)=1</f>
        <v>#N/A</v>
      </c>
      <c r="Y21">
        <f>IF(AND(References!$B$11,References!$B$12),1,IF(References!$B$11,IF(J21="CSDDD",0,1),IF(References!$B$12,IF(J21="REGEN",0,1),IF(J21="FSA",1,0))))</f>
        <v>1</v>
      </c>
    </row>
    <row r="22" spans="2:25" ht="162.5" hidden="1">
      <c r="B22" s="123"/>
      <c r="D22" s="231" t="s">
        <v>1362</v>
      </c>
      <c r="E22" s="232" t="s">
        <v>675</v>
      </c>
      <c r="F22" s="232" t="str">
        <f>'Checklist 2026'!F102</f>
        <v>Sim</v>
      </c>
      <c r="G22" s="233" t="str">
        <f>IF(queData[[#This Row],[Responder]]="Sim","Yes",IF(queData[[#This Row],[Responder]]="N/A","Yes","No"))</f>
        <v>Yes</v>
      </c>
      <c r="H22" s="246" t="s">
        <v>1293</v>
      </c>
      <c r="I22" s="231" t="s">
        <v>664</v>
      </c>
      <c r="J22" s="162" t="s">
        <v>982</v>
      </c>
      <c r="K22" s="150">
        <f t="shared" si="0"/>
        <v>1</v>
      </c>
      <c r="L22" s="234" t="str">
        <f t="shared" si="2"/>
        <v/>
      </c>
      <c r="M22" s="235"/>
      <c r="N22" s="237"/>
      <c r="O22" s="237" t="s">
        <v>1004</v>
      </c>
      <c r="P22" s="237" t="s">
        <v>1506</v>
      </c>
      <c r="Q22" s="237" t="s">
        <v>1507</v>
      </c>
      <c r="R22" s="159"/>
      <c r="S22" s="159"/>
      <c r="T22" s="159"/>
      <c r="U22" t="e">
        <f>VLOOKUP(queData[[#This Row],[Code]],RegenAg!$B$52:$C$76,2,0)=1</f>
        <v>#N/A</v>
      </c>
      <c r="Y22">
        <f>IF(AND(References!$B$11,References!$B$12),1,IF(References!$B$11,IF(J22="CSDDD",0,1),IF(References!$B$12,IF(J22="REGEN",0,1),IF(J22="FSA",1,0))))</f>
        <v>1</v>
      </c>
    </row>
    <row r="23" spans="2:25" ht="50" hidden="1">
      <c r="B23" s="123"/>
      <c r="D23" s="231" t="s">
        <v>1363</v>
      </c>
      <c r="E23" s="232" t="s">
        <v>676</v>
      </c>
      <c r="F23" s="236" t="str">
        <f>'Checklist 2026'!F102</f>
        <v>Sim</v>
      </c>
      <c r="G23" s="233" t="str">
        <f>IF(queData[[#This Row],[Responder]]="Sim","Yes",IF(queData[[#This Row],[Responder]]="N/A","Yes","No"))</f>
        <v>Yes</v>
      </c>
      <c r="H23" s="246" t="s">
        <v>1293</v>
      </c>
      <c r="I23" s="231" t="s">
        <v>664</v>
      </c>
      <c r="J23" s="162" t="s">
        <v>982</v>
      </c>
      <c r="K23" s="150">
        <f t="shared" si="0"/>
        <v>1</v>
      </c>
      <c r="L23" s="234" t="str">
        <f t="shared" si="2"/>
        <v/>
      </c>
      <c r="M23" s="235"/>
      <c r="N23" s="237"/>
      <c r="O23" s="237" t="s">
        <v>1004</v>
      </c>
      <c r="P23" s="237" t="s">
        <v>1508</v>
      </c>
      <c r="Q23" s="237"/>
      <c r="R23" s="159"/>
      <c r="S23" s="159"/>
      <c r="T23" s="159"/>
      <c r="U23" t="e">
        <f>VLOOKUP(queData[[#This Row],[Code]],RegenAg!$B$52:$C$76,2,0)=1</f>
        <v>#N/A</v>
      </c>
      <c r="Y23">
        <f>IF(AND(References!$B$11,References!$B$12),1,IF(References!$B$11,IF(J23="CSDDD",0,1),IF(References!$B$12,IF(J23="REGEN",0,1),IF(J23="FSA",1,0))))</f>
        <v>1</v>
      </c>
    </row>
    <row r="24" spans="2:25" ht="87.5" hidden="1">
      <c r="B24" s="123"/>
      <c r="D24" s="231" t="s">
        <v>677</v>
      </c>
      <c r="E24" s="236" t="s">
        <v>678</v>
      </c>
      <c r="F24" s="236" t="str">
        <f>'Checklist 2026'!F91</f>
        <v>Sim</v>
      </c>
      <c r="G24" s="233" t="str">
        <f>IF(queData[[#This Row],[Responder]]="Sim","Yes",IF(queData[[#This Row],[Responder]]="N/A","Yes","No"))</f>
        <v>Yes</v>
      </c>
      <c r="H24" s="267" t="s">
        <v>1294</v>
      </c>
      <c r="I24" s="231" t="s">
        <v>664</v>
      </c>
      <c r="J24" s="162" t="s">
        <v>982</v>
      </c>
      <c r="K24" s="150">
        <f t="shared" si="0"/>
        <v>1</v>
      </c>
      <c r="L24" s="234" t="str">
        <f t="shared" si="2"/>
        <v/>
      </c>
      <c r="M24" s="235"/>
      <c r="N24" s="237" t="s">
        <v>1006</v>
      </c>
      <c r="O24" s="237" t="s">
        <v>996</v>
      </c>
      <c r="P24" s="237" t="s">
        <v>1007</v>
      </c>
      <c r="Q24" s="237"/>
      <c r="R24" s="159"/>
      <c r="S24" s="159"/>
      <c r="T24" s="159"/>
      <c r="U24" t="e">
        <f>VLOOKUP(queData[[#This Row],[Code]],RegenAg!$B$52:$C$76,2,0)=1</f>
        <v>#N/A</v>
      </c>
      <c r="Y24">
        <f>IF(AND(References!$B$11,References!$B$12),1,IF(References!$B$11,IF(J24="CSDDD",0,1),IF(References!$B$12,IF(J24="REGEN",0,1),IF(J24="FSA",1,0))))</f>
        <v>1</v>
      </c>
    </row>
    <row r="25" spans="2:25" ht="50" hidden="1">
      <c r="B25" s="123"/>
      <c r="D25" s="231" t="s">
        <v>679</v>
      </c>
      <c r="E25" s="236" t="s">
        <v>680</v>
      </c>
      <c r="F25" s="236" t="str">
        <f>IF(AND('Checklist 2026'!F72&lt;&gt;"Não",'Checklist 2026'!F75&lt;&gt;"Não"),"Sim","Não")</f>
        <v>Sim</v>
      </c>
      <c r="G25" s="233" t="str">
        <f>IF(queData[[#This Row],[Responder]]="Sim","Yes",IF(queData[[#This Row],[Responder]]="N/A","Yes","No"))</f>
        <v>Yes</v>
      </c>
      <c r="H25" s="246" t="s">
        <v>1293</v>
      </c>
      <c r="I25" s="231" t="s">
        <v>664</v>
      </c>
      <c r="J25" s="162" t="s">
        <v>982</v>
      </c>
      <c r="K25" s="150">
        <f t="shared" si="0"/>
        <v>1</v>
      </c>
      <c r="L25" s="234" t="str">
        <f t="shared" si="2"/>
        <v/>
      </c>
      <c r="M25" s="235"/>
      <c r="N25" s="237" t="s">
        <v>1008</v>
      </c>
      <c r="O25" s="237" t="s">
        <v>996</v>
      </c>
      <c r="P25" s="237"/>
      <c r="Q25" s="237"/>
      <c r="R25" s="159"/>
      <c r="S25" s="159"/>
      <c r="T25" s="159"/>
      <c r="U25" t="e">
        <f>VLOOKUP(queData[[#This Row],[Code]],RegenAg!$B$52:$C$76,2,0)=1</f>
        <v>#N/A</v>
      </c>
      <c r="Y25">
        <f>IF(AND(References!$B$11,References!$B$12),1,IF(References!$B$11,IF(J25="CSDDD",0,1),IF(References!$B$12,IF(J25="REGEN",0,1),IF(J25="FSA",1,0))))</f>
        <v>1</v>
      </c>
    </row>
    <row r="26" spans="2:25" ht="350" hidden="1">
      <c r="B26" s="123"/>
      <c r="D26" s="231" t="s">
        <v>681</v>
      </c>
      <c r="E26" s="236" t="s">
        <v>682</v>
      </c>
      <c r="F26" s="236" t="str">
        <f>'Checklist 2026'!F48</f>
        <v>Sim</v>
      </c>
      <c r="G26" s="233" t="str">
        <f>IF(queData[[#This Row],[Responder]]="Sim","Yes",IF(queData[[#This Row],[Responder]]="N/A","Yes","No"))</f>
        <v>Yes</v>
      </c>
      <c r="H26" s="267" t="s">
        <v>1294</v>
      </c>
      <c r="I26" s="231" t="s">
        <v>664</v>
      </c>
      <c r="J26" s="162" t="s">
        <v>982</v>
      </c>
      <c r="K26" s="150">
        <f t="shared" si="0"/>
        <v>1</v>
      </c>
      <c r="L26" s="234" t="str">
        <f t="shared" si="2"/>
        <v/>
      </c>
      <c r="M26" s="235"/>
      <c r="N26" s="237" t="s">
        <v>1009</v>
      </c>
      <c r="O26" s="237" t="s">
        <v>996</v>
      </c>
      <c r="P26" s="237" t="s">
        <v>1010</v>
      </c>
      <c r="Q26" s="237"/>
      <c r="R26" s="159"/>
      <c r="S26" s="159"/>
      <c r="T26" s="159"/>
      <c r="U26" t="e">
        <f>VLOOKUP(queData[[#This Row],[Code]],RegenAg!$B$52:$C$76,2,0)=1</f>
        <v>#N/A</v>
      </c>
      <c r="Y26">
        <f>IF(AND(References!$B$11,References!$B$12),1,IF(References!$B$11,IF(J26="CSDDD",0,1),IF(References!$B$12,IF(J26="REGEN",0,1),IF(J26="FSA",1,0))))</f>
        <v>1</v>
      </c>
    </row>
    <row r="27" spans="2:25" ht="37.5" hidden="1">
      <c r="B27" s="123"/>
      <c r="D27" s="231" t="s">
        <v>683</v>
      </c>
      <c r="E27" s="236" t="s">
        <v>684</v>
      </c>
      <c r="F27" s="295"/>
      <c r="G27" s="297"/>
      <c r="H27" s="266"/>
      <c r="I27" s="231" t="s">
        <v>664</v>
      </c>
      <c r="J27" s="162" t="s">
        <v>982</v>
      </c>
      <c r="K27" s="150">
        <f t="shared" si="0"/>
        <v>1</v>
      </c>
      <c r="L27" s="234" t="str">
        <f t="shared" si="2"/>
        <v/>
      </c>
      <c r="M27" s="235"/>
      <c r="N27" s="237"/>
      <c r="O27" s="237"/>
      <c r="P27" s="237"/>
      <c r="Q27" s="237"/>
      <c r="R27" s="159"/>
      <c r="S27" s="159"/>
      <c r="T27" s="159"/>
      <c r="U27" t="e">
        <f>VLOOKUP(queData[[#This Row],[Code]],RegenAg!$B$52:$C$76,2,0)=1</f>
        <v>#N/A</v>
      </c>
      <c r="Y27">
        <f>IF(AND(References!$B$11,References!$B$12),1,IF(References!$B$11,IF(J27="CSDDD",0,1),IF(References!$B$12,IF(J27="REGEN",0,1),IF(J27="FSA",1,0))))</f>
        <v>1</v>
      </c>
    </row>
    <row r="28" spans="2:25" ht="137.5" hidden="1">
      <c r="B28" s="123"/>
      <c r="D28" s="231" t="s">
        <v>1342</v>
      </c>
      <c r="E28" s="232" t="s">
        <v>685</v>
      </c>
      <c r="F28" s="232" t="str">
        <f>'Checklist 2026'!F54</f>
        <v>Sim</v>
      </c>
      <c r="G28" s="233" t="str">
        <f>IF(queData[[#This Row],[Responder]]="Sim","Yes",IF(queData[[#This Row],[Responder]]="N/A","Yes","No"))</f>
        <v>Yes</v>
      </c>
      <c r="H28" s="246" t="s">
        <v>1293</v>
      </c>
      <c r="I28" s="231" t="s">
        <v>664</v>
      </c>
      <c r="J28" s="162" t="s">
        <v>982</v>
      </c>
      <c r="K28" s="150">
        <f t="shared" si="0"/>
        <v>1</v>
      </c>
      <c r="L28" s="234" t="str">
        <f t="shared" si="2"/>
        <v>DUE DILIGENCE</v>
      </c>
      <c r="M28" s="235"/>
      <c r="N28" s="237" t="s">
        <v>1509</v>
      </c>
      <c r="O28" s="237" t="s">
        <v>999</v>
      </c>
      <c r="P28" s="237" t="s">
        <v>1510</v>
      </c>
      <c r="Q28" s="237" t="s">
        <v>1511</v>
      </c>
      <c r="R28" s="159"/>
      <c r="S28" s="159"/>
      <c r="T28" s="159"/>
      <c r="U28" t="e">
        <f>VLOOKUP(queData[[#This Row],[Code]],RegenAg!$B$52:$C$76,2,0)=1</f>
        <v>#N/A</v>
      </c>
      <c r="X28">
        <v>1</v>
      </c>
      <c r="Y28">
        <f>IF(AND(References!$B$11,References!$B$12),1,IF(References!$B$11,IF(J28="CSDDD",0,1),IF(References!$B$12,IF(J28="REGEN",0,1),IF(J28="FSA",1,0))))</f>
        <v>1</v>
      </c>
    </row>
    <row r="29" spans="2:25" ht="125" hidden="1">
      <c r="B29" s="123"/>
      <c r="D29" s="231" t="s">
        <v>1343</v>
      </c>
      <c r="E29" s="232" t="s">
        <v>686</v>
      </c>
      <c r="F29" s="236" t="str">
        <f>'Checklist 2026'!F89</f>
        <v>Sim</v>
      </c>
      <c r="G29" s="233" t="str">
        <f>IF(queData[[#This Row],[Responder]]="Sim","Yes",IF(queData[[#This Row],[Responder]]="N/A","Yes","No"))</f>
        <v>Yes</v>
      </c>
      <c r="H29" s="246" t="s">
        <v>1293</v>
      </c>
      <c r="I29" s="231" t="s">
        <v>664</v>
      </c>
      <c r="J29" s="162" t="s">
        <v>982</v>
      </c>
      <c r="K29" s="150">
        <f t="shared" si="0"/>
        <v>1</v>
      </c>
      <c r="L29" s="234" t="str">
        <f t="shared" si="2"/>
        <v>DUE DILIGENCE</v>
      </c>
      <c r="M29" s="235"/>
      <c r="N29" s="237" t="s">
        <v>1512</v>
      </c>
      <c r="O29" s="237" t="s">
        <v>999</v>
      </c>
      <c r="P29" s="237" t="s">
        <v>1513</v>
      </c>
      <c r="Q29" s="237"/>
      <c r="R29" s="159"/>
      <c r="S29" s="159"/>
      <c r="T29" s="159"/>
      <c r="U29" t="e">
        <f>VLOOKUP(queData[[#This Row],[Code]],RegenAg!$B$52:$C$76,2,0)=1</f>
        <v>#N/A</v>
      </c>
      <c r="X29">
        <v>1</v>
      </c>
      <c r="Y29">
        <f>IF(AND(References!$B$11,References!$B$12),1,IF(References!$B$11,IF(J29="CSDDD",0,1),IF(References!$B$12,IF(J29="REGEN",0,1),IF(J29="FSA",1,0))))</f>
        <v>1</v>
      </c>
    </row>
    <row r="30" spans="2:25" ht="37.5" hidden="1">
      <c r="B30" s="123"/>
      <c r="D30" s="231" t="s">
        <v>687</v>
      </c>
      <c r="E30" s="236" t="s">
        <v>688</v>
      </c>
      <c r="F30" s="295"/>
      <c r="G30" s="296"/>
      <c r="H30" s="266"/>
      <c r="I30" s="231" t="s">
        <v>664</v>
      </c>
      <c r="J30" s="162" t="s">
        <v>982</v>
      </c>
      <c r="K30" s="150">
        <f t="shared" si="0"/>
        <v>1</v>
      </c>
      <c r="L30" s="234" t="str">
        <f t="shared" si="2"/>
        <v/>
      </c>
      <c r="M30" s="235"/>
      <c r="N30" s="237"/>
      <c r="O30" s="237"/>
      <c r="P30" s="237"/>
      <c r="Q30" s="237"/>
      <c r="R30" s="159"/>
      <c r="S30" s="159"/>
      <c r="T30" s="159"/>
      <c r="U30" t="e">
        <f>VLOOKUP(queData[[#This Row],[Code]],RegenAg!$B$52:$C$76,2,0)=1</f>
        <v>#N/A</v>
      </c>
      <c r="Y30">
        <f>IF(AND(References!$B$11,References!$B$12),1,IF(References!$B$11,IF(J30="CSDDD",0,1),IF(References!$B$12,IF(J30="REGEN",0,1),IF(J30="FSA",1,0))))</f>
        <v>1</v>
      </c>
    </row>
    <row r="31" spans="2:25" ht="50" hidden="1">
      <c r="B31" s="123"/>
      <c r="D31" s="231" t="s">
        <v>1344</v>
      </c>
      <c r="E31" s="232" t="s">
        <v>689</v>
      </c>
      <c r="F31" s="232" t="str">
        <f>'Checklist 2026'!F94</f>
        <v>Sim</v>
      </c>
      <c r="G31" s="233" t="str">
        <f>IF(queData[[#This Row],[Responder]]="Sim","Yes",IF(queData[[#This Row],[Responder]]="N/A","Yes","No"))</f>
        <v>Yes</v>
      </c>
      <c r="H31" s="246" t="s">
        <v>1293</v>
      </c>
      <c r="I31" s="231" t="s">
        <v>664</v>
      </c>
      <c r="J31" s="162" t="s">
        <v>982</v>
      </c>
      <c r="K31" s="150">
        <f t="shared" si="0"/>
        <v>1</v>
      </c>
      <c r="L31" s="234" t="str">
        <f t="shared" si="2"/>
        <v>DUE DILIGENCE</v>
      </c>
      <c r="M31" s="235"/>
      <c r="N31" s="237" t="s">
        <v>1514</v>
      </c>
      <c r="O31" s="237" t="s">
        <v>999</v>
      </c>
      <c r="P31" s="237" t="s">
        <v>1515</v>
      </c>
      <c r="Q31" s="237"/>
      <c r="R31" s="159"/>
      <c r="S31" s="159"/>
      <c r="T31" s="159"/>
      <c r="U31" t="e">
        <f>VLOOKUP(queData[[#This Row],[Code]],RegenAg!$B$52:$C$76,2,0)=1</f>
        <v>#N/A</v>
      </c>
      <c r="X31">
        <v>1</v>
      </c>
      <c r="Y31">
        <f>IF(AND(References!$B$11,References!$B$12),1,IF(References!$B$11,IF(J31="CSDDD",0,1),IF(References!$B$12,IF(J31="REGEN",0,1),IF(J31="FSA",1,0))))</f>
        <v>1</v>
      </c>
    </row>
    <row r="32" spans="2:25" ht="112.5" hidden="1">
      <c r="B32" s="123"/>
      <c r="D32" s="231" t="s">
        <v>1345</v>
      </c>
      <c r="E32" s="232" t="s">
        <v>690</v>
      </c>
      <c r="F32" s="232" t="str">
        <f>'Checklist 2026'!F35</f>
        <v>Sim</v>
      </c>
      <c r="G32" s="233" t="str">
        <f>IF(queData[[#This Row],[Responder]]="Sim","Yes",IF(queData[[#This Row],[Responder]]="N/A","Yes","No"))</f>
        <v>Yes</v>
      </c>
      <c r="H32" s="246" t="s">
        <v>1293</v>
      </c>
      <c r="I32" s="231" t="s">
        <v>664</v>
      </c>
      <c r="J32" s="162" t="s">
        <v>982</v>
      </c>
      <c r="K32" s="150">
        <f t="shared" si="0"/>
        <v>1</v>
      </c>
      <c r="L32" s="234" t="str">
        <f t="shared" si="2"/>
        <v>DUE DILIGENCE</v>
      </c>
      <c r="M32" s="235"/>
      <c r="N32" s="237" t="s">
        <v>1516</v>
      </c>
      <c r="O32" s="237" t="s">
        <v>999</v>
      </c>
      <c r="P32" s="237" t="s">
        <v>1517</v>
      </c>
      <c r="Q32" s="237"/>
      <c r="R32" s="159"/>
      <c r="S32" s="159"/>
      <c r="T32" s="159"/>
      <c r="U32" t="e">
        <f>VLOOKUP(queData[[#This Row],[Code]],RegenAg!$B$52:$C$76,2,0)=1</f>
        <v>#N/A</v>
      </c>
      <c r="X32">
        <v>1</v>
      </c>
      <c r="Y32">
        <f>IF(AND(References!$B$11,References!$B$12),1,IF(References!$B$11,IF(J32="CSDDD",0,1),IF(References!$B$12,IF(J32="REGEN",0,1),IF(J32="FSA",1,0))))</f>
        <v>1</v>
      </c>
    </row>
    <row r="33" spans="2:25" ht="162.5" hidden="1">
      <c r="B33" s="123"/>
      <c r="D33" s="231" t="s">
        <v>691</v>
      </c>
      <c r="E33" s="236" t="s">
        <v>692</v>
      </c>
      <c r="F33" s="236" t="str">
        <f>'Checklist 2026'!F101</f>
        <v>Sim</v>
      </c>
      <c r="G33" s="233" t="str">
        <f>IF(queData[[#This Row],[Responder]]="Sim","Yes",IF(queData[[#This Row],[Responder]]="N/A","Yes","No"))</f>
        <v>Yes</v>
      </c>
      <c r="H33" s="267" t="s">
        <v>1294</v>
      </c>
      <c r="I33" s="231" t="s">
        <v>664</v>
      </c>
      <c r="J33" s="162" t="s">
        <v>982</v>
      </c>
      <c r="K33" s="150">
        <f t="shared" si="0"/>
        <v>1</v>
      </c>
      <c r="L33" s="234" t="str">
        <f t="shared" si="2"/>
        <v/>
      </c>
      <c r="M33" s="235"/>
      <c r="N33" s="237" t="s">
        <v>1011</v>
      </c>
      <c r="O33" s="237" t="s">
        <v>1012</v>
      </c>
      <c r="P33" s="237" t="s">
        <v>1013</v>
      </c>
      <c r="Q33" s="237"/>
      <c r="R33" s="159"/>
      <c r="S33" s="159"/>
      <c r="T33" s="159"/>
      <c r="U33" t="e">
        <f>VLOOKUP(queData[[#This Row],[Code]],RegenAg!$B$52:$C$76,2,0)=1</f>
        <v>#N/A</v>
      </c>
      <c r="Y33">
        <f>IF(AND(References!$B$11,References!$B$12),1,IF(References!$B$11,IF(J33="CSDDD",0,1),IF(References!$B$12,IF(J33="REGEN",0,1),IF(J33="FSA",1,0))))</f>
        <v>1</v>
      </c>
    </row>
    <row r="34" spans="2:25" ht="162.5" hidden="1">
      <c r="B34" s="123"/>
      <c r="D34" s="231" t="s">
        <v>693</v>
      </c>
      <c r="E34" s="236" t="s">
        <v>694</v>
      </c>
      <c r="F34" s="236" t="str">
        <f>'Checklist 2026'!F89</f>
        <v>Sim</v>
      </c>
      <c r="G34" s="233" t="str">
        <f>IF(queData[[#This Row],[Responder]]="Sim","Yes",IF(queData[[#This Row],[Responder]]="N/A","Yes","No"))</f>
        <v>Yes</v>
      </c>
      <c r="H34" s="267" t="s">
        <v>1294</v>
      </c>
      <c r="I34" s="231" t="s">
        <v>664</v>
      </c>
      <c r="J34" s="162" t="s">
        <v>982</v>
      </c>
      <c r="K34" s="150">
        <f t="shared" si="0"/>
        <v>1</v>
      </c>
      <c r="L34" s="234" t="str">
        <f t="shared" si="2"/>
        <v>DUE DILIGENCE</v>
      </c>
      <c r="M34" s="235"/>
      <c r="N34" s="237" t="s">
        <v>1014</v>
      </c>
      <c r="O34" s="237" t="s">
        <v>1015</v>
      </c>
      <c r="P34" s="237" t="s">
        <v>1016</v>
      </c>
      <c r="Q34" s="237" t="s">
        <v>1017</v>
      </c>
      <c r="R34" s="159"/>
      <c r="S34" s="159"/>
      <c r="T34" s="159"/>
      <c r="U34" t="e">
        <f>VLOOKUP(queData[[#This Row],[Code]],RegenAg!$B$52:$C$76,2,0)=1</f>
        <v>#N/A</v>
      </c>
      <c r="X34">
        <v>1</v>
      </c>
      <c r="Y34">
        <f>IF(AND(References!$B$11,References!$B$12),1,IF(References!$B$11,IF(J34="CSDDD",0,1),IF(References!$B$12,IF(J34="REGEN",0,1),IF(J34="FSA",1,0))))</f>
        <v>1</v>
      </c>
    </row>
    <row r="35" spans="2:25" ht="200" hidden="1">
      <c r="B35" s="123"/>
      <c r="D35" s="231" t="s">
        <v>695</v>
      </c>
      <c r="E35" s="236" t="s">
        <v>696</v>
      </c>
      <c r="F35" s="236" t="str">
        <f>IF(AND('Checklist 2026'!F81&lt;&gt;"Não",'Checklist 2026'!F73&lt;&gt;"Não"),"Sim","Não")</f>
        <v>Sim</v>
      </c>
      <c r="G35" s="233" t="str">
        <f>IF(queData[[#This Row],[Responder]]="Sim","Yes",IF(queData[[#This Row],[Responder]]="N/A","Yes","No"))</f>
        <v>Yes</v>
      </c>
      <c r="H35" s="246" t="s">
        <v>1293</v>
      </c>
      <c r="I35" s="231" t="s">
        <v>664</v>
      </c>
      <c r="J35" s="162" t="s">
        <v>982</v>
      </c>
      <c r="K35" s="150">
        <f t="shared" si="0"/>
        <v>1</v>
      </c>
      <c r="L35" s="234" t="str">
        <f t="shared" si="2"/>
        <v/>
      </c>
      <c r="M35" s="235"/>
      <c r="N35" s="237" t="s">
        <v>1018</v>
      </c>
      <c r="O35" s="237"/>
      <c r="P35" s="237" t="s">
        <v>1019</v>
      </c>
      <c r="Q35" s="237"/>
      <c r="R35" s="159"/>
      <c r="S35" s="159"/>
      <c r="T35" s="159"/>
      <c r="U35" t="e">
        <f>VLOOKUP(queData[[#This Row],[Code]],RegenAg!$B$52:$C$76,2,0)=1</f>
        <v>#N/A</v>
      </c>
      <c r="Y35">
        <f>IF(AND(References!$B$11,References!$B$12),1,IF(References!$B$11,IF(J35="CSDDD",0,1),IF(References!$B$12,IF(J35="REGEN",0,1),IF(J35="FSA",1,0))))</f>
        <v>1</v>
      </c>
    </row>
    <row r="36" spans="2:25" ht="162.5" hidden="1" customHeight="1">
      <c r="B36" s="123"/>
      <c r="D36" s="231" t="s">
        <v>697</v>
      </c>
      <c r="E36" s="236" t="s">
        <v>698</v>
      </c>
      <c r="F36" s="236" t="str">
        <f>IF('Checklist 2026'!F26&lt;&gt;"Não","Sim","Não")</f>
        <v>Sim</v>
      </c>
      <c r="G36" s="233" t="str">
        <f>IF(queData[[#This Row],[Responder]]="Sim","Yes",IF(queData[[#This Row],[Responder]]="N/A","Yes","No"))</f>
        <v>Yes</v>
      </c>
      <c r="H36" s="265" t="s">
        <v>663</v>
      </c>
      <c r="I36" s="231" t="s">
        <v>664</v>
      </c>
      <c r="J36" s="162" t="s">
        <v>982</v>
      </c>
      <c r="K36" s="150">
        <f t="shared" si="0"/>
        <v>1</v>
      </c>
      <c r="L36" s="234" t="str">
        <f t="shared" si="2"/>
        <v/>
      </c>
      <c r="M36" s="235"/>
      <c r="N36" s="237" t="s">
        <v>1020</v>
      </c>
      <c r="O36" s="237"/>
      <c r="P36" s="237" t="s">
        <v>1021</v>
      </c>
      <c r="Q36" s="237" t="s">
        <v>1022</v>
      </c>
      <c r="R36" s="159"/>
      <c r="S36" s="159"/>
      <c r="T36" s="159"/>
      <c r="U36" t="e">
        <f>VLOOKUP(queData[[#This Row],[Code]],RegenAg!$B$52:$C$76,2,0)=1</f>
        <v>#N/A</v>
      </c>
      <c r="Y36">
        <f>IF(AND(References!$B$11,References!$B$12),1,IF(References!$B$11,IF(J36="CSDDD",0,1),IF(References!$B$12,IF(J36="REGEN",0,1),IF(J36="FSA",1,0))))</f>
        <v>1</v>
      </c>
    </row>
    <row r="37" spans="2:25" ht="87.5" hidden="1">
      <c r="B37" s="123"/>
      <c r="D37" s="231" t="s">
        <v>699</v>
      </c>
      <c r="E37" s="236" t="s">
        <v>700</v>
      </c>
      <c r="F37" s="236" t="str">
        <f>'Checklist 2026'!F67</f>
        <v>Sim</v>
      </c>
      <c r="G37" s="233" t="str">
        <f>IF(queData[[#This Row],[Responder]]="Sim","Yes",IF(queData[[#This Row],[Responder]]="N/A","Yes","No"))</f>
        <v>Yes</v>
      </c>
      <c r="H37" s="246" t="s">
        <v>1293</v>
      </c>
      <c r="I37" s="231" t="s">
        <v>664</v>
      </c>
      <c r="J37" s="162" t="s">
        <v>982</v>
      </c>
      <c r="K37" s="150">
        <f t="shared" si="0"/>
        <v>1</v>
      </c>
      <c r="L37" s="234" t="str">
        <f t="shared" si="2"/>
        <v/>
      </c>
      <c r="M37" s="235"/>
      <c r="N37" s="237" t="s">
        <v>1023</v>
      </c>
      <c r="O37" s="237"/>
      <c r="P37" s="237" t="s">
        <v>1024</v>
      </c>
      <c r="Q37" s="237" t="s">
        <v>1025</v>
      </c>
      <c r="R37" s="159"/>
      <c r="S37" s="159"/>
      <c r="T37" s="159"/>
      <c r="U37" t="e">
        <f>VLOOKUP(queData[[#This Row],[Code]],RegenAg!$B$52:$C$76,2,0)=1</f>
        <v>#N/A</v>
      </c>
      <c r="Y37">
        <f>IF(AND(References!$B$11,References!$B$12),1,IF(References!$B$11,IF(J37="CSDDD",0,1),IF(References!$B$12,IF(J37="REGEN",0,1),IF(J37="FSA",1,0))))</f>
        <v>1</v>
      </c>
    </row>
    <row r="38" spans="2:25" ht="162.5" hidden="1">
      <c r="B38" s="123"/>
      <c r="D38" s="231" t="s">
        <v>701</v>
      </c>
      <c r="E38" s="236" t="s">
        <v>702</v>
      </c>
      <c r="F38" s="236" t="str">
        <f>IF(AND('Checklist 2026'!F82&lt;&gt;"Não",'Checklist 2026'!F59&lt;&gt;"Não",'Checklist 2026'!F62&lt;&gt;"Não"),"Sim","Não")</f>
        <v>Sim</v>
      </c>
      <c r="G38" s="233" t="str">
        <f>IF(queData[[#This Row],[Responder]]="Sim","Yes",IF(queData[[#This Row],[Responder]]="N/A","Yes","No"))</f>
        <v>Yes</v>
      </c>
      <c r="H38" s="246" t="s">
        <v>1293</v>
      </c>
      <c r="I38" s="231" t="s">
        <v>664</v>
      </c>
      <c r="J38" s="162" t="s">
        <v>982</v>
      </c>
      <c r="K38" s="150">
        <f t="shared" si="0"/>
        <v>1</v>
      </c>
      <c r="L38" s="234" t="str">
        <f t="shared" si="2"/>
        <v/>
      </c>
      <c r="M38" s="235"/>
      <c r="N38" s="237" t="s">
        <v>1026</v>
      </c>
      <c r="O38" s="237"/>
      <c r="P38" s="237" t="s">
        <v>1027</v>
      </c>
      <c r="Q38" s="237"/>
      <c r="R38" s="159"/>
      <c r="S38" s="159"/>
      <c r="T38" s="159"/>
      <c r="U38" t="e">
        <f>VLOOKUP(queData[[#This Row],[Code]],RegenAg!$B$52:$C$76,2,0)=1</f>
        <v>#N/A</v>
      </c>
      <c r="Y38">
        <f>IF(AND(References!$B$11,References!$B$12),1,IF(References!$B$11,IF(J38="CSDDD",0,1),IF(References!$B$12,IF(J38="REGEN",0,1),IF(J38="FSA",1,0))))</f>
        <v>1</v>
      </c>
    </row>
    <row r="39" spans="2:25" ht="87.5" hidden="1">
      <c r="B39" s="123"/>
      <c r="D39" s="231" t="s">
        <v>703</v>
      </c>
      <c r="E39" s="236" t="s">
        <v>704</v>
      </c>
      <c r="F39" s="236" t="str">
        <f>'Checklist 2026'!F50</f>
        <v>Sim</v>
      </c>
      <c r="G39" s="233" t="str">
        <f>IF(queData[[#This Row],[Responder]]="Sim","Yes",IF(queData[[#This Row],[Responder]]="N/A","Yes","No"))</f>
        <v>Yes</v>
      </c>
      <c r="H39" s="246" t="s">
        <v>1293</v>
      </c>
      <c r="I39" s="231" t="s">
        <v>664</v>
      </c>
      <c r="J39" s="162" t="s">
        <v>982</v>
      </c>
      <c r="K39" s="150">
        <f t="shared" si="0"/>
        <v>1</v>
      </c>
      <c r="L39" s="234" t="str">
        <f t="shared" si="2"/>
        <v/>
      </c>
      <c r="M39" s="235"/>
      <c r="N39" s="237" t="s">
        <v>1028</v>
      </c>
      <c r="O39" s="237" t="s">
        <v>1029</v>
      </c>
      <c r="P39" s="237" t="s">
        <v>1030</v>
      </c>
      <c r="Q39" s="237"/>
      <c r="R39" s="159"/>
      <c r="S39" s="159"/>
      <c r="T39" s="159"/>
      <c r="U39" t="e">
        <f>VLOOKUP(queData[[#This Row],[Code]],RegenAg!$B$52:$C$76,2,0)=1</f>
        <v>#N/A</v>
      </c>
      <c r="Y39">
        <f>IF(AND(References!$B$11,References!$B$12),1,IF(References!$B$11,IF(J39="CSDDD",0,1),IF(References!$B$12,IF(J39="REGEN",0,1),IF(J39="FSA",1,0))))</f>
        <v>1</v>
      </c>
    </row>
    <row r="40" spans="2:25" ht="112.5" hidden="1">
      <c r="B40" s="123"/>
      <c r="D40" s="231" t="s">
        <v>705</v>
      </c>
      <c r="E40" s="236" t="s">
        <v>706</v>
      </c>
      <c r="F40" s="236" t="str">
        <f>'Checklist 2026'!F51</f>
        <v>Sim</v>
      </c>
      <c r="G40" s="233" t="str">
        <f>IF(queData[[#This Row],[Responder]]="Sim","Yes",IF(queData[[#This Row],[Responder]]="N/A","Yes","No"))</f>
        <v>Yes</v>
      </c>
      <c r="H40" s="246" t="s">
        <v>1293</v>
      </c>
      <c r="I40" s="231" t="s">
        <v>664</v>
      </c>
      <c r="J40" s="162" t="s">
        <v>982</v>
      </c>
      <c r="K40" s="150">
        <f t="shared" si="0"/>
        <v>1</v>
      </c>
      <c r="L40" s="234" t="str">
        <f t="shared" si="2"/>
        <v/>
      </c>
      <c r="M40" s="235"/>
      <c r="N40" s="237" t="s">
        <v>1031</v>
      </c>
      <c r="O40" s="237"/>
      <c r="P40" s="237"/>
      <c r="Q40" s="237"/>
      <c r="R40" s="159"/>
      <c r="S40" s="159"/>
      <c r="T40" s="159"/>
      <c r="U40" t="e">
        <f>VLOOKUP(queData[[#This Row],[Code]],RegenAg!$B$52:$C$76,2,0)=1</f>
        <v>#N/A</v>
      </c>
      <c r="Y40">
        <f>IF(AND(References!$B$11,References!$B$12),1,IF(References!$B$11,IF(J40="CSDDD",0,1),IF(References!$B$12,IF(J40="REGEN",0,1),IF(J40="FSA",1,0))))</f>
        <v>1</v>
      </c>
    </row>
    <row r="41" spans="2:25" ht="37.5" hidden="1">
      <c r="B41" s="123"/>
      <c r="D41" s="231" t="s">
        <v>1584</v>
      </c>
      <c r="E41" s="236" t="s">
        <v>707</v>
      </c>
      <c r="F41" s="236" t="e">
        <f>'Checklist 2026'!#REF!</f>
        <v>#REF!</v>
      </c>
      <c r="G41" s="233" t="e">
        <f>IF(queData[[#This Row],[Responder]]="Sim","Yes",IF(queData[[#This Row],[Responder]]="N/A","Yes","No"))</f>
        <v>#REF!</v>
      </c>
      <c r="H41" s="246"/>
      <c r="I41" s="231" t="s">
        <v>664</v>
      </c>
      <c r="J41" s="162" t="s">
        <v>0</v>
      </c>
      <c r="K41" s="150">
        <f t="shared" si="0"/>
        <v>1</v>
      </c>
      <c r="L41" s="234" t="str">
        <f t="shared" si="2"/>
        <v>DUE DILIGENCE</v>
      </c>
      <c r="M41" s="235"/>
      <c r="N41" s="237" t="s">
        <v>1032</v>
      </c>
      <c r="O41" s="237"/>
      <c r="P41" s="237"/>
      <c r="Q41" s="237"/>
      <c r="R41" s="159"/>
      <c r="S41" s="159"/>
      <c r="T41" s="159"/>
      <c r="U41" t="e">
        <f>VLOOKUP(queData[[#This Row],[Code]],RegenAg!$B$52:$C$76,2,0)=1</f>
        <v>#N/A</v>
      </c>
      <c r="X41">
        <v>1</v>
      </c>
      <c r="Y41">
        <f>IF(AND(References!$B$11,References!$B$12),1,IF(References!$B$11,IF(J41="CSDDD",0,1),IF(References!$B$12,IF(J41="REGEN",0,1),IF(J41="FSA",1,0))))</f>
        <v>1</v>
      </c>
    </row>
    <row r="42" spans="2:25" ht="37.5" hidden="1">
      <c r="B42" s="123"/>
      <c r="D42" s="231" t="s">
        <v>1585</v>
      </c>
      <c r="E42" s="236" t="s">
        <v>708</v>
      </c>
      <c r="F42" s="236" t="str">
        <f>'Checklist 2026'!F19</f>
        <v>Sim</v>
      </c>
      <c r="G42" s="233" t="str">
        <f>IF(queData[[#This Row],[Responder]]="Sim","Yes",IF(queData[[#This Row],[Responder]]="N/A","Yes","No"))</f>
        <v>Yes</v>
      </c>
      <c r="H42" s="246"/>
      <c r="I42" s="231" t="s">
        <v>664</v>
      </c>
      <c r="J42" s="162" t="s">
        <v>0</v>
      </c>
      <c r="K42" s="150">
        <f t="shared" si="0"/>
        <v>1</v>
      </c>
      <c r="L42" s="234" t="str">
        <f t="shared" si="2"/>
        <v>DUE DILIGENCE</v>
      </c>
      <c r="M42" s="235"/>
      <c r="N42" s="237" t="s">
        <v>1033</v>
      </c>
      <c r="O42" s="237"/>
      <c r="P42" s="237"/>
      <c r="Q42" s="237"/>
      <c r="R42" s="159"/>
      <c r="S42" s="159"/>
      <c r="T42" s="159"/>
      <c r="U42" t="e">
        <f>VLOOKUP(queData[[#This Row],[Code]],RegenAg!$B$52:$C$76,2,0)=1</f>
        <v>#N/A</v>
      </c>
      <c r="X42">
        <v>1</v>
      </c>
      <c r="Y42">
        <f>IF(AND(References!$B$11,References!$B$12),1,IF(References!$B$11,IF(J42="CSDDD",0,1),IF(References!$B$12,IF(J42="REGEN",0,1),IF(J42="FSA",1,0))))</f>
        <v>1</v>
      </c>
    </row>
    <row r="43" spans="2:25" ht="237.5" hidden="1">
      <c r="B43" s="123"/>
      <c r="D43" s="231" t="s">
        <v>1586</v>
      </c>
      <c r="E43" s="236" t="s">
        <v>709</v>
      </c>
      <c r="F43" s="236" t="e">
        <f>'Checklist 2026'!#REF!</f>
        <v>#REF!</v>
      </c>
      <c r="G43" s="233" t="e">
        <f>IF(queData[[#This Row],[Responder]]="Sim","Yes",IF(queData[[#This Row],[Responder]]="N/A","Yes","No"))</f>
        <v>#REF!</v>
      </c>
      <c r="H43" s="246"/>
      <c r="I43" s="231" t="s">
        <v>664</v>
      </c>
      <c r="J43" s="162" t="s">
        <v>0</v>
      </c>
      <c r="K43" s="150">
        <f t="shared" si="0"/>
        <v>1</v>
      </c>
      <c r="L43" s="234" t="str">
        <f t="shared" si="2"/>
        <v>DUE DILIGENCE</v>
      </c>
      <c r="M43" s="235"/>
      <c r="N43" s="237" t="s">
        <v>1034</v>
      </c>
      <c r="O43" s="237"/>
      <c r="P43" s="237" t="s">
        <v>1035</v>
      </c>
      <c r="Q43" s="237" t="s">
        <v>1036</v>
      </c>
      <c r="R43" s="159"/>
      <c r="S43" s="159"/>
      <c r="T43" s="159"/>
      <c r="U43" t="e">
        <f>VLOOKUP(queData[[#This Row],[Code]],RegenAg!$B$52:$C$76,2,0)=1</f>
        <v>#N/A</v>
      </c>
      <c r="X43">
        <v>1</v>
      </c>
      <c r="Y43">
        <f>IF(AND(References!$B$11,References!$B$12),1,IF(References!$B$11,IF(J43="CSDDD",0,1),IF(References!$B$12,IF(J43="REGEN",0,1),IF(J43="FSA",1,0))))</f>
        <v>1</v>
      </c>
    </row>
    <row r="44" spans="2:25" ht="100" hidden="1">
      <c r="B44" s="123"/>
      <c r="D44" s="231" t="s">
        <v>1587</v>
      </c>
      <c r="E44" s="236" t="s">
        <v>710</v>
      </c>
      <c r="F44" s="236" t="e">
        <f>'Checklist 2026'!#REF!</f>
        <v>#REF!</v>
      </c>
      <c r="G44" s="233" t="e">
        <f>IF(queData[[#This Row],[Responder]]="Sim","Yes",IF(queData[[#This Row],[Responder]]="N/A","Yes","No"))</f>
        <v>#REF!</v>
      </c>
      <c r="H44" s="246"/>
      <c r="I44" s="231" t="s">
        <v>664</v>
      </c>
      <c r="J44" s="162" t="s">
        <v>0</v>
      </c>
      <c r="K44" s="150">
        <f t="shared" si="0"/>
        <v>1</v>
      </c>
      <c r="L44" s="234" t="str">
        <f t="shared" si="2"/>
        <v>DUE DILIGENCE</v>
      </c>
      <c r="M44" s="235"/>
      <c r="N44" s="237" t="s">
        <v>1037</v>
      </c>
      <c r="O44" s="237" t="s">
        <v>1038</v>
      </c>
      <c r="P44" s="237"/>
      <c r="Q44" s="237"/>
      <c r="R44" s="159"/>
      <c r="S44" s="159"/>
      <c r="T44" s="159"/>
      <c r="U44" t="e">
        <f>VLOOKUP(queData[[#This Row],[Code]],RegenAg!$B$52:$C$76,2,0)=1</f>
        <v>#N/A</v>
      </c>
      <c r="X44">
        <v>1</v>
      </c>
      <c r="Y44">
        <f>IF(AND(References!$B$11,References!$B$12),1,IF(References!$B$11,IF(J44="CSDDD",0,1),IF(References!$B$12,IF(J44="REGEN",0,1),IF(J44="FSA",1,0))))</f>
        <v>1</v>
      </c>
    </row>
    <row r="45" spans="2:25" ht="150" hidden="1">
      <c r="B45" s="123"/>
      <c r="D45" s="231" t="s">
        <v>1588</v>
      </c>
      <c r="E45" s="236" t="s">
        <v>711</v>
      </c>
      <c r="F45" s="236" t="e">
        <f>'Checklist 2026'!#REF!</f>
        <v>#REF!</v>
      </c>
      <c r="G45" s="233" t="e">
        <f>IF(queData[[#This Row],[Responder]]="Sim","Yes",IF(queData[[#This Row],[Responder]]="N/A","Yes","No"))</f>
        <v>#REF!</v>
      </c>
      <c r="H45" s="246"/>
      <c r="I45" s="231" t="s">
        <v>664</v>
      </c>
      <c r="J45" s="162" t="s">
        <v>0</v>
      </c>
      <c r="K45" s="150">
        <f t="shared" si="0"/>
        <v>1</v>
      </c>
      <c r="L45" s="234" t="str">
        <f t="shared" si="2"/>
        <v>DUE DILIGENCE</v>
      </c>
      <c r="M45" s="235"/>
      <c r="N45" s="237" t="s">
        <v>1039</v>
      </c>
      <c r="O45" s="237" t="s">
        <v>1040</v>
      </c>
      <c r="P45" s="237" t="s">
        <v>1041</v>
      </c>
      <c r="Q45" s="237" t="s">
        <v>1042</v>
      </c>
      <c r="R45" s="159"/>
      <c r="S45" s="159"/>
      <c r="T45" s="159"/>
      <c r="U45" t="e">
        <f>VLOOKUP(queData[[#This Row],[Code]],RegenAg!$B$52:$C$76,2,0)=1</f>
        <v>#N/A</v>
      </c>
      <c r="X45">
        <v>1</v>
      </c>
      <c r="Y45">
        <f>IF(AND(References!$B$11,References!$B$12),1,IF(References!$B$11,IF(J45="CSDDD",0,1),IF(References!$B$12,IF(J45="REGEN",0,1),IF(J45="FSA",1,0))))</f>
        <v>1</v>
      </c>
    </row>
    <row r="46" spans="2:25" ht="162.5" hidden="1">
      <c r="B46" s="123"/>
      <c r="D46" s="231" t="s">
        <v>1589</v>
      </c>
      <c r="E46" s="236" t="s">
        <v>712</v>
      </c>
      <c r="F46" s="236" t="e">
        <f>'Checklist 2026'!#REF!</f>
        <v>#REF!</v>
      </c>
      <c r="G46" s="233" t="e">
        <f>IF(queData[[#This Row],[Responder]]="Sim","Yes",IF(queData[[#This Row],[Responder]]="N/A","Yes","No"))</f>
        <v>#REF!</v>
      </c>
      <c r="H46" s="246"/>
      <c r="I46" s="231" t="s">
        <v>664</v>
      </c>
      <c r="J46" s="162" t="s">
        <v>0</v>
      </c>
      <c r="K46" s="150">
        <f t="shared" si="0"/>
        <v>1</v>
      </c>
      <c r="L46" s="234" t="str">
        <f t="shared" si="2"/>
        <v>DUE DILIGENCE</v>
      </c>
      <c r="M46" s="235"/>
      <c r="N46" s="237" t="s">
        <v>1043</v>
      </c>
      <c r="O46" s="237" t="s">
        <v>1044</v>
      </c>
      <c r="P46" s="237" t="s">
        <v>1045</v>
      </c>
      <c r="Q46" s="237"/>
      <c r="R46" s="159"/>
      <c r="S46" s="159"/>
      <c r="T46" s="159"/>
      <c r="U46" t="e">
        <f>VLOOKUP(queData[[#This Row],[Code]],RegenAg!$B$52:$C$76,2,0)=1</f>
        <v>#N/A</v>
      </c>
      <c r="X46">
        <v>1</v>
      </c>
      <c r="Y46">
        <f>IF(AND(References!$B$11,References!$B$12),1,IF(References!$B$11,IF(J46="CSDDD",0,1),IF(References!$B$12,IF(J46="REGEN",0,1),IF(J46="FSA",1,0))))</f>
        <v>1</v>
      </c>
    </row>
    <row r="47" spans="2:25" ht="18" hidden="1">
      <c r="B47" s="123"/>
      <c r="D47" s="241"/>
      <c r="E47" s="242" t="s">
        <v>1384</v>
      </c>
      <c r="F47" s="242"/>
      <c r="G47" s="277"/>
      <c r="H47" s="241"/>
      <c r="I47" s="241"/>
      <c r="J47" s="164" t="s">
        <v>982</v>
      </c>
      <c r="K47" s="150">
        <f t="shared" si="0"/>
        <v>1</v>
      </c>
      <c r="L47" s="241"/>
      <c r="M47" s="235"/>
      <c r="N47" s="241"/>
      <c r="O47" s="241"/>
      <c r="P47" s="241"/>
      <c r="Q47" s="241"/>
      <c r="R47" s="159"/>
      <c r="S47" s="159"/>
      <c r="T47" s="159"/>
      <c r="U47" t="e">
        <f>VLOOKUP(queData[[#This Row],[Code]],RegenAg!$B$52:$C$76,2,0)=1</f>
        <v>#N/A</v>
      </c>
      <c r="Y47">
        <f>IF(AND(References!$B$11,References!$B$12),1,IF(References!$B$11,IF(J47="CSDDD",0,1),IF(References!$B$12,IF(J47="REGEN",0,1),IF(J47="FSA",1,0))))</f>
        <v>1</v>
      </c>
    </row>
    <row r="48" spans="2:25" ht="37.5" hidden="1">
      <c r="B48" s="123"/>
      <c r="D48" s="243"/>
      <c r="E48" s="244" t="s">
        <v>1385</v>
      </c>
      <c r="F48" s="298"/>
      <c r="G48" s="299"/>
      <c r="H48" s="243"/>
      <c r="I48" s="231" t="s">
        <v>715</v>
      </c>
      <c r="J48" s="162" t="s">
        <v>982</v>
      </c>
      <c r="K48" s="150">
        <f t="shared" si="0"/>
        <v>1</v>
      </c>
      <c r="L48" s="234" t="str">
        <f t="shared" ref="L48:L58" si="3">IF(AND(W48=1,X48=1),"REGEN &amp; DUE DILIGENCE",IF(AND(W48=1,ISBLANK(X48)),"REGEN",IF(AND(ISBLANK(W48),X48=1),"DUE DILIGENCE","")))</f>
        <v/>
      </c>
      <c r="M48" s="235"/>
      <c r="N48" s="237"/>
      <c r="O48" s="237"/>
      <c r="P48" s="237"/>
      <c r="Q48" s="237"/>
      <c r="R48" s="159"/>
      <c r="S48" s="159"/>
      <c r="T48" s="159"/>
      <c r="U48" t="e">
        <f>VLOOKUP(queData[[#This Row],[Code]],RegenAg!$B$52:$C$76,2,0)=1</f>
        <v>#N/A</v>
      </c>
      <c r="Y48">
        <f>IF(AND(References!$B$11,References!$B$12),1,IF(References!$B$11,IF(J48="CSDDD",0,1),IF(References!$B$12,IF(J48="REGEN",0,1),IF(J48="FSA",1,0))))</f>
        <v>1</v>
      </c>
    </row>
    <row r="49" spans="2:25" ht="39" hidden="1">
      <c r="B49" s="123"/>
      <c r="D49" s="243"/>
      <c r="E49" s="245" t="s">
        <v>1406</v>
      </c>
      <c r="F49" s="300"/>
      <c r="G49" s="296" t="s">
        <v>662</v>
      </c>
      <c r="H49" s="246" t="str">
        <f>IF(queData[[#This Row],[Answer]]="Yes","",HYPERLINK(References!F15&amp;"F53","Go to FSA22"))</f>
        <v/>
      </c>
      <c r="I49" s="231" t="s">
        <v>715</v>
      </c>
      <c r="J49" s="162" t="s">
        <v>982</v>
      </c>
      <c r="K49" s="150">
        <f t="shared" si="0"/>
        <v>1</v>
      </c>
      <c r="L49" s="234" t="str">
        <f t="shared" si="3"/>
        <v/>
      </c>
      <c r="M49" s="235"/>
      <c r="N49" s="237"/>
      <c r="O49" s="237"/>
      <c r="P49" s="237"/>
      <c r="Q49" s="237"/>
      <c r="R49" s="159"/>
      <c r="S49" s="159"/>
      <c r="T49" s="159"/>
      <c r="U49" t="e">
        <f>VLOOKUP(queData[[#This Row],[Code]],RegenAg!$B$52:$C$76,2,0)=1</f>
        <v>#N/A</v>
      </c>
      <c r="Y49">
        <f>IF(AND(References!$B$11,References!$B$12),1,IF(References!$B$11,IF(J49="CSDDD",0,1),IF(References!$B$12,IF(J49="REGEN",0,1),IF(J49="FSA",1,0))))</f>
        <v>1</v>
      </c>
    </row>
    <row r="50" spans="2:25" ht="137.5" hidden="1">
      <c r="B50" s="123"/>
      <c r="D50" s="231" t="s">
        <v>713</v>
      </c>
      <c r="E50" s="236" t="s">
        <v>714</v>
      </c>
      <c r="F50" s="236" t="str">
        <f>'Checklist 2026'!F34</f>
        <v>Sim</v>
      </c>
      <c r="G50" s="233" t="str">
        <f>IF(queData[[#This Row],[Responder]]="Sim","Yes",IF(queData[[#This Row],[Responder]]="N/A","Yes","No"))</f>
        <v>Yes</v>
      </c>
      <c r="H50" s="265" t="str">
        <f>IF(G49="YES", "Essential","Not Applicable")</f>
        <v>Essential</v>
      </c>
      <c r="I50" s="231" t="s">
        <v>715</v>
      </c>
      <c r="J50" s="162" t="s">
        <v>982</v>
      </c>
      <c r="K50" s="150">
        <f t="shared" si="0"/>
        <v>1</v>
      </c>
      <c r="L50" s="234" t="str">
        <f t="shared" si="3"/>
        <v/>
      </c>
      <c r="M50" s="235"/>
      <c r="N50" s="237" t="s">
        <v>1046</v>
      </c>
      <c r="O50" s="237"/>
      <c r="P50" s="237"/>
      <c r="Q50" s="237"/>
      <c r="R50" s="159"/>
      <c r="S50" s="159"/>
      <c r="T50" s="159"/>
      <c r="U50" t="e">
        <f>VLOOKUP(queData[[#This Row],[Code]],RegenAg!$B$52:$C$76,2,0)=1</f>
        <v>#N/A</v>
      </c>
      <c r="Y50">
        <f>IF(AND(References!$B$11,References!$B$12),1,IF(References!$B$11,IF(J50="CSDDD",0,1),IF(References!$B$12,IF(J50="REGEN",0,1),IF(J50="FSA",1,0))))</f>
        <v>1</v>
      </c>
    </row>
    <row r="51" spans="2:25" ht="75" hidden="1">
      <c r="B51" s="123"/>
      <c r="D51" s="231" t="s">
        <v>716</v>
      </c>
      <c r="E51" s="236" t="s">
        <v>717</v>
      </c>
      <c r="F51" s="236" t="str">
        <f>'Checklist 2026'!F34</f>
        <v>Sim</v>
      </c>
      <c r="G51" s="233" t="str">
        <f>IF(queData[[#This Row],[Responder]]="Sim","Yes",IF(queData[[#This Row],[Responder]]="N/A","Yes","No"))</f>
        <v>Yes</v>
      </c>
      <c r="H51" s="246" t="str">
        <f>IF(G49="YES", "Intermediate","Not Applicable")</f>
        <v>Intermediate</v>
      </c>
      <c r="I51" s="231" t="s">
        <v>715</v>
      </c>
      <c r="J51" s="162" t="s">
        <v>982</v>
      </c>
      <c r="K51" s="150">
        <f t="shared" si="0"/>
        <v>1</v>
      </c>
      <c r="L51" s="234" t="str">
        <f t="shared" si="3"/>
        <v/>
      </c>
      <c r="M51" s="235"/>
      <c r="N51" s="237" t="s">
        <v>1047</v>
      </c>
      <c r="O51" s="237"/>
      <c r="P51" s="237"/>
      <c r="Q51" s="237"/>
      <c r="R51" s="159"/>
      <c r="S51" s="159"/>
      <c r="T51" s="159"/>
      <c r="U51" t="e">
        <f>VLOOKUP(queData[[#This Row],[Code]],RegenAg!$B$52:$C$76,2,0)=1</f>
        <v>#N/A</v>
      </c>
      <c r="Y51">
        <f>IF(AND(References!$B$11,References!$B$12),1,IF(References!$B$11,IF(J51="CSDDD",0,1),IF(References!$B$12,IF(J51="REGEN",0,1),IF(J51="FSA",1,0))))</f>
        <v>1</v>
      </c>
    </row>
    <row r="52" spans="2:25" ht="37.5" hidden="1">
      <c r="B52" s="123"/>
      <c r="D52" s="231"/>
      <c r="E52" s="244" t="s">
        <v>1384</v>
      </c>
      <c r="F52" s="298"/>
      <c r="G52" s="296"/>
      <c r="H52" s="246"/>
      <c r="I52" s="231" t="s">
        <v>715</v>
      </c>
      <c r="J52" s="162" t="s">
        <v>982</v>
      </c>
      <c r="K52" s="150">
        <f t="shared" si="0"/>
        <v>1</v>
      </c>
      <c r="L52" s="234" t="str">
        <f t="shared" si="3"/>
        <v/>
      </c>
      <c r="M52" s="235"/>
      <c r="N52" s="237"/>
      <c r="O52" s="237"/>
      <c r="P52" s="237"/>
      <c r="Q52" s="237"/>
      <c r="R52" s="159"/>
      <c r="S52" s="159"/>
      <c r="T52" s="159"/>
      <c r="U52" t="e">
        <f>VLOOKUP(queData[[#This Row],[Code]],RegenAg!$B$52:$C$76,2,0)=1</f>
        <v>#N/A</v>
      </c>
      <c r="Y52">
        <f>IF(AND(References!$B$11,References!$B$12),1,IF(References!$B$11,IF(J52="CSDDD",0,1),IF(References!$B$12,IF(J52="REGEN",0,1),IF(J52="FSA",1,0))))</f>
        <v>1</v>
      </c>
    </row>
    <row r="53" spans="2:25" ht="212.5" hidden="1">
      <c r="B53" s="123"/>
      <c r="D53" s="231" t="s">
        <v>718</v>
      </c>
      <c r="E53" s="236" t="s">
        <v>719</v>
      </c>
      <c r="F53" s="236" t="str">
        <f>'Checklist 2026'!F76</f>
        <v>Sim</v>
      </c>
      <c r="G53" s="233" t="str">
        <f>IF(queData[[#This Row],[Responder]]="Sim","Yes",IF(queData[[#This Row],[Responder]]="N/A","Yes","No"))</f>
        <v>Yes</v>
      </c>
      <c r="H53" s="246" t="s">
        <v>1293</v>
      </c>
      <c r="I53" s="231" t="s">
        <v>715</v>
      </c>
      <c r="J53" s="162" t="s">
        <v>982</v>
      </c>
      <c r="K53" s="150">
        <f t="shared" si="0"/>
        <v>1</v>
      </c>
      <c r="L53" s="234" t="str">
        <f t="shared" si="3"/>
        <v/>
      </c>
      <c r="M53" s="235"/>
      <c r="N53" s="237" t="s">
        <v>1048</v>
      </c>
      <c r="O53" s="237"/>
      <c r="P53" s="237" t="s">
        <v>1049</v>
      </c>
      <c r="Q53" s="237"/>
      <c r="R53" s="159"/>
      <c r="S53" s="159"/>
      <c r="T53" s="159"/>
      <c r="U53" t="e">
        <f>VLOOKUP(queData[[#This Row],[Code]],RegenAg!$B$52:$C$76,2,0)=1</f>
        <v>#N/A</v>
      </c>
      <c r="Y53">
        <f>IF(AND(References!$B$11,References!$B$12),1,IF(References!$B$11,IF(J53="CSDDD",0,1),IF(References!$B$12,IF(J53="REGEN",0,1),IF(J53="FSA",1,0))))</f>
        <v>1</v>
      </c>
    </row>
    <row r="54" spans="2:25" ht="162.5" hidden="1">
      <c r="B54" s="123"/>
      <c r="D54" s="231" t="s">
        <v>720</v>
      </c>
      <c r="E54" s="236" t="s">
        <v>721</v>
      </c>
      <c r="F54" s="236" t="str">
        <f>'Checklist 2026'!F76</f>
        <v>Sim</v>
      </c>
      <c r="G54" s="233" t="str">
        <f>IF(queData[[#This Row],[Responder]]="Sim","Yes",IF(queData[[#This Row],[Responder]]="N/A","Yes","No"))</f>
        <v>Yes</v>
      </c>
      <c r="H54" s="246" t="s">
        <v>1293</v>
      </c>
      <c r="I54" s="231" t="s">
        <v>715</v>
      </c>
      <c r="J54" s="162" t="s">
        <v>982</v>
      </c>
      <c r="K54" s="150">
        <f t="shared" si="0"/>
        <v>1</v>
      </c>
      <c r="L54" s="234" t="str">
        <f t="shared" si="3"/>
        <v/>
      </c>
      <c r="M54" s="235"/>
      <c r="N54" s="237" t="s">
        <v>1050</v>
      </c>
      <c r="O54" s="237"/>
      <c r="P54" s="237" t="s">
        <v>1051</v>
      </c>
      <c r="Q54" s="237"/>
      <c r="R54" s="159"/>
      <c r="S54" s="159"/>
      <c r="T54" s="159"/>
      <c r="U54" t="e">
        <f>VLOOKUP(queData[[#This Row],[Code]],RegenAg!$B$52:$C$76,2,0)=1</f>
        <v>#N/A</v>
      </c>
      <c r="Y54">
        <f>IF(AND(References!$B$11,References!$B$12),1,IF(References!$B$11,IF(J54="CSDDD",0,1),IF(References!$B$12,IF(J54="REGEN",0,1),IF(J54="FSA",1,0))))</f>
        <v>1</v>
      </c>
    </row>
    <row r="55" spans="2:25" ht="175" hidden="1">
      <c r="B55" s="123"/>
      <c r="D55" s="231" t="s">
        <v>722</v>
      </c>
      <c r="E55" s="236" t="s">
        <v>723</v>
      </c>
      <c r="F55" s="236" t="str">
        <f>'Checklist 2026'!F32</f>
        <v>Sim</v>
      </c>
      <c r="G55" s="233" t="str">
        <f>IF(queData[[#This Row],[Responder]]="Sim","Yes",IF(queData[[#This Row],[Responder]]="N/A","Yes","No"))</f>
        <v>Yes</v>
      </c>
      <c r="H55" s="246" t="s">
        <v>1293</v>
      </c>
      <c r="I55" s="231" t="s">
        <v>715</v>
      </c>
      <c r="J55" s="162" t="s">
        <v>982</v>
      </c>
      <c r="K55" s="150">
        <f t="shared" si="0"/>
        <v>1</v>
      </c>
      <c r="L55" s="234" t="str">
        <f t="shared" si="3"/>
        <v/>
      </c>
      <c r="M55" s="235"/>
      <c r="N55" s="237" t="s">
        <v>1052</v>
      </c>
      <c r="O55" s="237"/>
      <c r="P55" s="237" t="s">
        <v>1053</v>
      </c>
      <c r="Q55" s="237"/>
      <c r="R55" s="159"/>
      <c r="S55" s="159"/>
      <c r="T55" s="159"/>
      <c r="U55" t="e">
        <f>VLOOKUP(queData[[#This Row],[Code]],RegenAg!$B$52:$C$76,2,0)=1</f>
        <v>#N/A</v>
      </c>
      <c r="Y55">
        <f>IF(AND(References!$B$11,References!$B$12),1,IF(References!$B$11,IF(J55="CSDDD",0,1),IF(References!$B$12,IF(J55="REGEN",0,1),IF(J55="FSA",1,0))))</f>
        <v>1</v>
      </c>
    </row>
    <row r="56" spans="2:25" ht="350" hidden="1">
      <c r="B56" s="123"/>
      <c r="D56" s="231" t="s">
        <v>724</v>
      </c>
      <c r="E56" s="236" t="s">
        <v>725</v>
      </c>
      <c r="F56" s="236" t="s">
        <v>1636</v>
      </c>
      <c r="G56" s="233" t="str">
        <f>IF(queData[[#This Row],[Responder]]="Sim","Yes",IF(queData[[#This Row],[Responder]]="N/A","Yes","No"))</f>
        <v>Yes</v>
      </c>
      <c r="H56" s="267" t="s">
        <v>1294</v>
      </c>
      <c r="I56" s="231" t="s">
        <v>715</v>
      </c>
      <c r="J56" s="162" t="s">
        <v>982</v>
      </c>
      <c r="K56" s="150">
        <f t="shared" si="0"/>
        <v>1</v>
      </c>
      <c r="L56" s="234" t="str">
        <f t="shared" si="3"/>
        <v/>
      </c>
      <c r="M56" s="235"/>
      <c r="N56" s="237" t="s">
        <v>1054</v>
      </c>
      <c r="O56" s="237"/>
      <c r="P56" s="237" t="s">
        <v>1055</v>
      </c>
      <c r="Q56" s="237" t="s">
        <v>1056</v>
      </c>
      <c r="R56" s="159"/>
      <c r="S56" s="159"/>
      <c r="T56" s="159"/>
      <c r="U56" t="e">
        <f>VLOOKUP(queData[[#This Row],[Code]],RegenAg!$B$52:$C$76,2,0)=1</f>
        <v>#N/A</v>
      </c>
      <c r="Y56">
        <f>IF(AND(References!$B$11,References!$B$12),1,IF(References!$B$11,IF(J56="CSDDD",0,1),IF(References!$B$12,IF(J56="REGEN",0,1),IF(J56="FSA",1,0))))</f>
        <v>1</v>
      </c>
    </row>
    <row r="57" spans="2:25" ht="50" hidden="1">
      <c r="B57" s="123"/>
      <c r="D57" s="231" t="s">
        <v>726</v>
      </c>
      <c r="E57" s="236" t="s">
        <v>727</v>
      </c>
      <c r="F57" s="236" t="str">
        <f>'Checklist 2026'!F76</f>
        <v>Sim</v>
      </c>
      <c r="G57" s="233" t="str">
        <f>IF(queData[[#This Row],[Responder]]="Sim","Yes",IF(queData[[#This Row],[Responder]]="N/A","Yes","No"))</f>
        <v>Yes</v>
      </c>
      <c r="H57" s="267" t="s">
        <v>1294</v>
      </c>
      <c r="I57" s="231" t="s">
        <v>715</v>
      </c>
      <c r="J57" s="162" t="s">
        <v>982</v>
      </c>
      <c r="K57" s="150">
        <f t="shared" si="0"/>
        <v>1</v>
      </c>
      <c r="L57" s="234" t="str">
        <f t="shared" si="3"/>
        <v/>
      </c>
      <c r="M57" s="235"/>
      <c r="N57" s="237" t="s">
        <v>1057</v>
      </c>
      <c r="O57" s="237"/>
      <c r="P57" s="237" t="s">
        <v>1058</v>
      </c>
      <c r="Q57" s="237"/>
      <c r="R57" s="159"/>
      <c r="S57" s="159"/>
      <c r="T57" s="159"/>
      <c r="U57" t="e">
        <f>VLOOKUP(queData[[#This Row],[Code]],RegenAg!$B$52:$C$76,2,0)=1</f>
        <v>#N/A</v>
      </c>
      <c r="Y57">
        <f>IF(AND(References!$B$11,References!$B$12),1,IF(References!$B$11,IF(J57="CSDDD",0,1),IF(References!$B$12,IF(J57="REGEN",0,1),IF(J57="FSA",1,0))))</f>
        <v>1</v>
      </c>
    </row>
    <row r="58" spans="2:25" ht="150" hidden="1">
      <c r="B58" s="123"/>
      <c r="D58" s="231" t="s">
        <v>728</v>
      </c>
      <c r="E58" s="236" t="s">
        <v>729</v>
      </c>
      <c r="F58" s="236" t="str">
        <f>'Checklist 2026'!F76</f>
        <v>Sim</v>
      </c>
      <c r="G58" s="233" t="str">
        <f>IF(queData[[#This Row],[Responder]]="Sim","Yes",IF(queData[[#This Row],[Responder]]="N/A","Yes","No"))</f>
        <v>Yes</v>
      </c>
      <c r="H58" s="267" t="s">
        <v>1294</v>
      </c>
      <c r="I58" s="231" t="s">
        <v>715</v>
      </c>
      <c r="J58" s="162" t="s">
        <v>982</v>
      </c>
      <c r="K58" s="150">
        <f t="shared" si="0"/>
        <v>1</v>
      </c>
      <c r="L58" s="234" t="str">
        <f t="shared" si="3"/>
        <v/>
      </c>
      <c r="M58" s="235"/>
      <c r="N58" s="237" t="s">
        <v>1059</v>
      </c>
      <c r="O58" s="237"/>
      <c r="P58" s="237" t="s">
        <v>1060</v>
      </c>
      <c r="Q58" s="237"/>
      <c r="R58" s="159"/>
      <c r="S58" s="159"/>
      <c r="T58" s="159"/>
      <c r="U58" t="e">
        <f>VLOOKUP(queData[[#This Row],[Code]],RegenAg!$B$52:$C$76,2,0)=1</f>
        <v>#N/A</v>
      </c>
      <c r="Y58">
        <f>IF(AND(References!$B$11,References!$B$12),1,IF(References!$B$11,IF(J58="CSDDD",0,1),IF(References!$B$12,IF(J58="REGEN",0,1),IF(J58="FSA",1,0))))</f>
        <v>1</v>
      </c>
    </row>
    <row r="59" spans="2:25" ht="18" hidden="1">
      <c r="B59" s="123"/>
      <c r="D59" s="241"/>
      <c r="E59" s="242" t="s">
        <v>1386</v>
      </c>
      <c r="F59" s="242"/>
      <c r="G59" s="277"/>
      <c r="H59" s="241"/>
      <c r="I59" s="241"/>
      <c r="J59" s="164" t="s">
        <v>982</v>
      </c>
      <c r="K59" s="150">
        <f t="shared" si="0"/>
        <v>1</v>
      </c>
      <c r="L59" s="241"/>
      <c r="M59" s="235"/>
      <c r="N59" s="241"/>
      <c r="O59" s="241"/>
      <c r="P59" s="241"/>
      <c r="Q59" s="241"/>
      <c r="R59" s="159"/>
      <c r="S59" s="159"/>
      <c r="T59" s="159"/>
      <c r="U59" t="e">
        <f>VLOOKUP(queData[[#This Row],[Code]],RegenAg!$B$52:$C$76,2,0)=1</f>
        <v>#N/A</v>
      </c>
      <c r="Y59">
        <f>IF(AND(References!$B$11,References!$B$12),1,IF(References!$B$11,IF(J59="CSDDD",0,1),IF(References!$B$12,IF(J59="REGEN",0,1),IF(J59="FSA",1,0))))</f>
        <v>1</v>
      </c>
    </row>
    <row r="60" spans="2:25" ht="162.5" hidden="1">
      <c r="B60" s="123"/>
      <c r="D60" s="231" t="s">
        <v>730</v>
      </c>
      <c r="E60" s="236" t="s">
        <v>731</v>
      </c>
      <c r="F60" s="295"/>
      <c r="G60" s="297"/>
      <c r="H60" s="266"/>
      <c r="I60" s="231" t="s">
        <v>732</v>
      </c>
      <c r="J60" s="162" t="s">
        <v>982</v>
      </c>
      <c r="K60" s="150">
        <f t="shared" si="0"/>
        <v>1</v>
      </c>
      <c r="L60" s="234" t="str">
        <f t="shared" ref="L60:L76" si="4">IF(AND(W60=1,X60=1),"REGEN &amp; DUE DILIGENCE",IF(AND(W60=1,ISBLANK(X60)),"REGEN",IF(AND(ISBLANK(W60),X60=1),"DUE DILIGENCE","")))</f>
        <v/>
      </c>
      <c r="M60" s="235"/>
      <c r="N60" s="237" t="s">
        <v>1061</v>
      </c>
      <c r="O60" s="237"/>
      <c r="P60" s="237" t="s">
        <v>1062</v>
      </c>
      <c r="Q60" s="237"/>
      <c r="R60" s="159"/>
      <c r="S60" s="159"/>
      <c r="T60" s="159"/>
      <c r="U60" t="e">
        <f>VLOOKUP(queData[[#This Row],[Code]],RegenAg!$B$52:$C$76,2,0)=1</f>
        <v>#N/A</v>
      </c>
      <c r="Y60">
        <f>IF(AND(References!$B$11,References!$B$12),1,IF(References!$B$11,IF(J60="CSDDD",0,1),IF(References!$B$12,IF(J60="REGEN",0,1),IF(J60="FSA",1,0))))</f>
        <v>1</v>
      </c>
    </row>
    <row r="61" spans="2:25" ht="175" hidden="1">
      <c r="B61" s="123"/>
      <c r="D61" s="231" t="s">
        <v>1346</v>
      </c>
      <c r="E61" s="232" t="s">
        <v>733</v>
      </c>
      <c r="F61" s="232" t="str">
        <f>'Checklist 2026'!F107</f>
        <v>Sim</v>
      </c>
      <c r="G61" s="233" t="str">
        <f>IF(queData[[#This Row],[Responder]]="Sim","Yes",IF(queData[[#This Row],[Responder]]="N/A","Yes","No"))</f>
        <v>Yes</v>
      </c>
      <c r="H61" s="246" t="s">
        <v>1293</v>
      </c>
      <c r="I61" s="231" t="s">
        <v>732</v>
      </c>
      <c r="J61" s="162" t="s">
        <v>982</v>
      </c>
      <c r="K61" s="150">
        <f t="shared" si="0"/>
        <v>1</v>
      </c>
      <c r="L61" s="234" t="str">
        <f t="shared" si="4"/>
        <v>REGEN &amp; DUE DILIGENCE</v>
      </c>
      <c r="M61" s="235"/>
      <c r="N61" s="237" t="s">
        <v>1518</v>
      </c>
      <c r="O61" s="237"/>
      <c r="P61" s="237" t="s">
        <v>1519</v>
      </c>
      <c r="Q61" s="237"/>
      <c r="R61" s="159"/>
      <c r="S61" s="159"/>
      <c r="T61" s="159"/>
      <c r="U61" t="b">
        <f>VLOOKUP(queData[[#This Row],[Code]],RegenAg!$B$52:$C$76,2,0)=1</f>
        <v>0</v>
      </c>
      <c r="W61">
        <v>1</v>
      </c>
      <c r="X61">
        <v>1</v>
      </c>
      <c r="Y61">
        <f>IF(AND(References!$B$11,References!$B$12),1,IF(References!$B$11,IF(J61="CSDDD",0,1),IF(References!$B$12,IF(J61="REGEN",0,1),IF(J61="FSA",1,0))))</f>
        <v>1</v>
      </c>
    </row>
    <row r="62" spans="2:25" ht="25" hidden="1">
      <c r="B62" s="123"/>
      <c r="D62" s="231" t="s">
        <v>734</v>
      </c>
      <c r="E62" s="236" t="s">
        <v>735</v>
      </c>
      <c r="F62" s="301">
        <f>'Checklist 2026'!F112</f>
        <v>0</v>
      </c>
      <c r="G62" s="233">
        <f>queData[[#This Row],[Responder]]</f>
        <v>0</v>
      </c>
      <c r="H62" s="266"/>
      <c r="I62" s="231" t="s">
        <v>732</v>
      </c>
      <c r="J62" s="162" t="s">
        <v>983</v>
      </c>
      <c r="K62" s="150">
        <f t="shared" si="0"/>
        <v>1</v>
      </c>
      <c r="L62" s="234" t="str">
        <f t="shared" si="4"/>
        <v/>
      </c>
      <c r="M62" s="235"/>
      <c r="N62" s="237"/>
      <c r="O62" s="237"/>
      <c r="P62" s="237"/>
      <c r="Q62" s="237"/>
      <c r="R62" s="159"/>
      <c r="S62" s="159"/>
      <c r="T62" s="159"/>
      <c r="U62" t="e">
        <f>VLOOKUP(queData[[#This Row],[Code]],RegenAg!$B$52:$C$76,2,0)=1</f>
        <v>#N/A</v>
      </c>
      <c r="Y62">
        <f>IF(AND(References!$B$11,References!$B$12),1,IF(References!$B$11,IF(J62="CSDDD",0,1),IF(References!$B$12,IF(J62="REGEN",0,1),IF(J62="FSA",1,0))))</f>
        <v>1</v>
      </c>
    </row>
    <row r="63" spans="2:25" ht="125" hidden="1">
      <c r="B63" s="123"/>
      <c r="D63" s="231" t="s">
        <v>1347</v>
      </c>
      <c r="E63" s="232" t="s">
        <v>736</v>
      </c>
      <c r="F63" s="232" t="str">
        <f>'Checklist 2026'!F107</f>
        <v>Sim</v>
      </c>
      <c r="G63" s="233" t="str">
        <f>IF(queData[[#This Row],[Responder]]="Sim","Yes",IF(queData[[#This Row],[Responder]]="N/A","Yes","No"))</f>
        <v>Yes</v>
      </c>
      <c r="H63" s="246" t="s">
        <v>1293</v>
      </c>
      <c r="I63" s="231" t="s">
        <v>732</v>
      </c>
      <c r="J63" s="162" t="s">
        <v>982</v>
      </c>
      <c r="K63" s="150">
        <f t="shared" si="0"/>
        <v>1</v>
      </c>
      <c r="L63" s="234" t="str">
        <f t="shared" si="4"/>
        <v>REGEN &amp; DUE DILIGENCE</v>
      </c>
      <c r="M63" s="235"/>
      <c r="N63" s="237" t="s">
        <v>1520</v>
      </c>
      <c r="O63" s="237"/>
      <c r="P63" s="237" t="s">
        <v>1521</v>
      </c>
      <c r="Q63" s="237"/>
      <c r="R63" s="159"/>
      <c r="S63" s="159"/>
      <c r="T63" s="159"/>
      <c r="U63" t="b">
        <f>VLOOKUP(queData[[#This Row],[Code]],RegenAg!$B$52:$C$76,2,0)=1</f>
        <v>0</v>
      </c>
      <c r="W63">
        <v>1</v>
      </c>
      <c r="X63">
        <v>1</v>
      </c>
      <c r="Y63">
        <f>IF(AND(References!$B$11,References!$B$12),1,IF(References!$B$11,IF(J63="CSDDD",0,1),IF(References!$B$12,IF(J63="REGEN",0,1),IF(J63="FSA",1,0))))</f>
        <v>1</v>
      </c>
    </row>
    <row r="64" spans="2:25" ht="25" hidden="1">
      <c r="B64" s="123"/>
      <c r="D64" s="231" t="s">
        <v>737</v>
      </c>
      <c r="E64" s="236" t="s">
        <v>738</v>
      </c>
      <c r="F64" s="301">
        <f>1-('Checklist 2026'!F14/'Checklist 2026'!F8)</f>
        <v>1</v>
      </c>
      <c r="G64" s="233">
        <f>queData[[#This Row],[Responder]]</f>
        <v>1</v>
      </c>
      <c r="H64" s="266"/>
      <c r="I64" s="231" t="s">
        <v>732</v>
      </c>
      <c r="J64" s="162" t="s">
        <v>983</v>
      </c>
      <c r="K64" s="150">
        <f t="shared" si="0"/>
        <v>1</v>
      </c>
      <c r="L64" s="234" t="str">
        <f t="shared" si="4"/>
        <v/>
      </c>
      <c r="M64" s="235"/>
      <c r="N64" s="237"/>
      <c r="O64" s="237"/>
      <c r="P64" s="237"/>
      <c r="Q64" s="237"/>
      <c r="R64" s="159"/>
      <c r="S64" s="159"/>
      <c r="T64" s="159"/>
      <c r="U64" t="e">
        <f>VLOOKUP(queData[[#This Row],[Code]],RegenAg!$B$52:$C$76,2,0)=1</f>
        <v>#N/A</v>
      </c>
      <c r="Y64">
        <f>IF(AND(References!$B$11,References!$B$12),1,IF(References!$B$11,IF(J64="CSDDD",0,1),IF(References!$B$12,IF(J64="REGEN",0,1),IF(J64="FSA",1,0))))</f>
        <v>1</v>
      </c>
    </row>
    <row r="65" spans="2:25" ht="25" hidden="1">
      <c r="B65" s="123"/>
      <c r="D65" s="231" t="s">
        <v>739</v>
      </c>
      <c r="E65" s="308" t="s">
        <v>742</v>
      </c>
      <c r="F65" s="308" t="str">
        <f>'Checklist 2026'!F78</f>
        <v>Sim</v>
      </c>
      <c r="G65" s="310" t="str">
        <f>queData[[#This Row],[Responder]]</f>
        <v>Sim</v>
      </c>
      <c r="H65" s="266"/>
      <c r="I65" s="231" t="s">
        <v>732</v>
      </c>
      <c r="J65" s="162" t="s">
        <v>983</v>
      </c>
      <c r="K65" s="150">
        <f t="shared" si="0"/>
        <v>1</v>
      </c>
      <c r="L65" s="234" t="str">
        <f t="shared" si="4"/>
        <v/>
      </c>
      <c r="M65" s="235"/>
      <c r="N65" s="237"/>
      <c r="O65" s="237"/>
      <c r="P65" s="237"/>
      <c r="Q65" s="237"/>
      <c r="R65" s="159"/>
      <c r="S65" s="159"/>
      <c r="T65" s="159"/>
      <c r="U65" t="e">
        <f>VLOOKUP(queData[[#This Row],[Code]],RegenAg!$B$52:$C$76,2,0)=1</f>
        <v>#N/A</v>
      </c>
      <c r="Y65">
        <f>IF(AND(References!$B$11,References!$B$12),1,IF(References!$B$11,IF(J65="CSDDD",0,1),IF(References!$B$12,IF(J65="REGEN",0,1),IF(J65="FSA",1,0))))</f>
        <v>1</v>
      </c>
    </row>
    <row r="66" spans="2:25" ht="112.5" hidden="1">
      <c r="B66" s="123"/>
      <c r="D66" s="231" t="s">
        <v>1348</v>
      </c>
      <c r="E66" s="232" t="s">
        <v>743</v>
      </c>
      <c r="F66" s="232" t="str">
        <f>'Checklist 2026'!F103</f>
        <v>Sim</v>
      </c>
      <c r="G66" s="303" t="str">
        <f>IF(queData[[#This Row],[Responder]]="Sim","Yes",IF(queData[[#This Row],[Responder]]="N/A","Yes","No"))</f>
        <v>Yes</v>
      </c>
      <c r="H66" s="246" t="s">
        <v>1293</v>
      </c>
      <c r="I66" s="231" t="s">
        <v>732</v>
      </c>
      <c r="J66" s="162" t="s">
        <v>982</v>
      </c>
      <c r="K66" s="150">
        <f t="shared" si="0"/>
        <v>1</v>
      </c>
      <c r="L66" s="234" t="str">
        <f t="shared" si="4"/>
        <v>DUE DILIGENCE</v>
      </c>
      <c r="M66" s="235"/>
      <c r="N66" s="237" t="s">
        <v>1522</v>
      </c>
      <c r="O66" s="237"/>
      <c r="P66" s="237" t="s">
        <v>1523</v>
      </c>
      <c r="Q66" s="237"/>
      <c r="R66" s="159"/>
      <c r="S66" s="159"/>
      <c r="T66" s="159"/>
      <c r="U66" t="e">
        <f>VLOOKUP(queData[[#This Row],[Code]],RegenAg!$B$52:$C$76,2,0)=1</f>
        <v>#N/A</v>
      </c>
      <c r="X66">
        <v>1</v>
      </c>
      <c r="Y66">
        <f>IF(AND(References!$B$11,References!$B$12),1,IF(References!$B$11,IF(J66="CSDDD",0,1),IF(References!$B$12,IF(J66="REGEN",0,1),IF(J66="FSA",1,0))))</f>
        <v>1</v>
      </c>
    </row>
    <row r="67" spans="2:25" ht="18" hidden="1">
      <c r="B67" s="123"/>
      <c r="D67" s="231" t="s">
        <v>744</v>
      </c>
      <c r="E67" s="236" t="s">
        <v>745</v>
      </c>
      <c r="F67" s="302"/>
      <c r="G67" s="303"/>
      <c r="H67" s="266"/>
      <c r="I67" s="231"/>
      <c r="J67" s="162" t="s">
        <v>982</v>
      </c>
      <c r="K67" s="150">
        <f t="shared" si="0"/>
        <v>1</v>
      </c>
      <c r="L67" s="234" t="str">
        <f t="shared" si="4"/>
        <v/>
      </c>
      <c r="M67" s="235"/>
      <c r="N67" s="237"/>
      <c r="O67" s="237"/>
      <c r="P67" s="237"/>
      <c r="Q67" s="237"/>
      <c r="R67" s="159"/>
      <c r="S67" s="159"/>
      <c r="T67" s="159"/>
      <c r="U67" t="e">
        <f>VLOOKUP(queData[[#This Row],[Code]],RegenAg!$B$52:$C$76,2,0)=1</f>
        <v>#N/A</v>
      </c>
      <c r="Y67">
        <f>IF(AND(References!$B$11,References!$B$12),1,IF(References!$B$11,IF(J67="CSDDD",0,1),IF(References!$B$12,IF(J67="REGEN",0,1),IF(J67="FSA",1,0))))</f>
        <v>1</v>
      </c>
    </row>
    <row r="68" spans="2:25" ht="175" hidden="1">
      <c r="B68" s="123"/>
      <c r="D68" s="231" t="s">
        <v>1349</v>
      </c>
      <c r="E68" s="232" t="s">
        <v>746</v>
      </c>
      <c r="F68" s="232" t="str">
        <f>'Checklist 2026'!F107</f>
        <v>Sim</v>
      </c>
      <c r="G68" s="233" t="str">
        <f>IF(queData[[#This Row],[Responder]]="Sim","Yes",IF(queData[[#This Row],[Responder]]="N/A","Yes","No"))</f>
        <v>Yes</v>
      </c>
      <c r="H68" s="246" t="s">
        <v>1293</v>
      </c>
      <c r="I68" s="231" t="s">
        <v>732</v>
      </c>
      <c r="J68" s="162" t="s">
        <v>982</v>
      </c>
      <c r="K68" s="150">
        <f t="shared" si="0"/>
        <v>1</v>
      </c>
      <c r="L68" s="234" t="str">
        <f t="shared" si="4"/>
        <v>REGEN &amp; DUE DILIGENCE</v>
      </c>
      <c r="M68" s="235"/>
      <c r="N68" s="237" t="s">
        <v>1524</v>
      </c>
      <c r="O68" s="237"/>
      <c r="P68" s="237" t="s">
        <v>1525</v>
      </c>
      <c r="Q68" s="237"/>
      <c r="R68" s="159"/>
      <c r="S68" s="159"/>
      <c r="T68" s="159"/>
      <c r="U68" t="b">
        <f>VLOOKUP(queData[[#This Row],[Code]],RegenAg!$B$52:$C$76,2,0)=1</f>
        <v>0</v>
      </c>
      <c r="W68">
        <v>1</v>
      </c>
      <c r="X68">
        <v>1</v>
      </c>
      <c r="Y68">
        <f>IF(AND(References!$B$11,References!$B$12),1,IF(References!$B$11,IF(J68="CSDDD",0,1),IF(References!$B$12,IF(J68="REGEN",0,1),IF(J68="FSA",1,0))))</f>
        <v>1</v>
      </c>
    </row>
    <row r="69" spans="2:25" ht="25" hidden="1">
      <c r="B69" s="123"/>
      <c r="D69" s="231" t="s">
        <v>741</v>
      </c>
      <c r="E69" s="236" t="s">
        <v>748</v>
      </c>
      <c r="F69" s="301">
        <f>1-'Checklist 2026'!F14/'Checklist 2026'!F8</f>
        <v>1</v>
      </c>
      <c r="G69" s="233">
        <f>queData[[#This Row],[Responder]]</f>
        <v>1</v>
      </c>
      <c r="H69" s="266"/>
      <c r="I69" s="231"/>
      <c r="J69" s="162" t="s">
        <v>983</v>
      </c>
      <c r="K69" s="150">
        <f t="shared" si="0"/>
        <v>1</v>
      </c>
      <c r="L69" s="234" t="str">
        <f t="shared" si="4"/>
        <v/>
      </c>
      <c r="M69" s="235"/>
      <c r="N69" s="237"/>
      <c r="O69" s="237"/>
      <c r="P69" s="237"/>
      <c r="Q69" s="237"/>
      <c r="R69" s="159"/>
      <c r="S69" s="159"/>
      <c r="T69" s="159"/>
      <c r="U69" t="e">
        <f>VLOOKUP(queData[[#This Row],[Code]],RegenAg!$B$52:$C$76,2,0)=1</f>
        <v>#N/A</v>
      </c>
      <c r="Y69">
        <f>IF(AND(References!$B$11,References!$B$12),1,IF(References!$B$11,IF(J69="CSDDD",0,1),IF(References!$B$12,IF(J69="REGEN",0,1),IF(J69="FSA",1,0))))</f>
        <v>1</v>
      </c>
    </row>
    <row r="70" spans="2:25" ht="162.5" hidden="1">
      <c r="B70" s="123"/>
      <c r="D70" s="231" t="s">
        <v>1350</v>
      </c>
      <c r="E70" s="232" t="s">
        <v>749</v>
      </c>
      <c r="F70" s="232" t="str">
        <f>'Checklist 2026'!F77</f>
        <v>Sim</v>
      </c>
      <c r="G70" s="233" t="str">
        <f>IF(queData[[#This Row],[Responder]]="Sim","Yes",IF(queData[[#This Row],[Responder]]="N/A","Yes","No"))</f>
        <v>Yes</v>
      </c>
      <c r="H70" s="246" t="s">
        <v>1293</v>
      </c>
      <c r="I70" s="231" t="s">
        <v>732</v>
      </c>
      <c r="J70" s="162" t="s">
        <v>982</v>
      </c>
      <c r="K70" s="150">
        <f t="shared" si="0"/>
        <v>1</v>
      </c>
      <c r="L70" s="234" t="str">
        <f t="shared" si="4"/>
        <v>DUE DILIGENCE</v>
      </c>
      <c r="M70" s="235"/>
      <c r="N70" s="237" t="s">
        <v>1526</v>
      </c>
      <c r="O70" s="237"/>
      <c r="P70" s="237" t="s">
        <v>1527</v>
      </c>
      <c r="Q70" s="237"/>
      <c r="R70" s="159"/>
      <c r="S70" s="159"/>
      <c r="T70" s="159"/>
      <c r="U70" t="e">
        <f>VLOOKUP(queData[[#This Row],[Code]],RegenAg!$B$52:$C$76,2,0)=1</f>
        <v>#N/A</v>
      </c>
      <c r="X70">
        <v>1</v>
      </c>
      <c r="Y70">
        <f>IF(AND(References!$B$11,References!$B$12),1,IF(References!$B$11,IF(J70="CSDDD",0,1),IF(References!$B$12,IF(J70="REGEN",0,1),IF(J70="FSA",1,0))))</f>
        <v>1</v>
      </c>
    </row>
    <row r="71" spans="2:25" ht="112.5" hidden="1">
      <c r="B71" s="123"/>
      <c r="D71" s="231" t="s">
        <v>1351</v>
      </c>
      <c r="E71" s="232" t="s">
        <v>750</v>
      </c>
      <c r="F71" s="232" t="str">
        <f>'Checklist 2026'!F103</f>
        <v>Sim</v>
      </c>
      <c r="G71" s="233" t="str">
        <f>IF(queData[[#This Row],[Responder]]="Sim","Yes",IF(queData[[#This Row],[Responder]]="N/A","Yes","No"))</f>
        <v>Yes</v>
      </c>
      <c r="H71" s="246" t="s">
        <v>1293</v>
      </c>
      <c r="I71" s="231" t="s">
        <v>732</v>
      </c>
      <c r="J71" s="162" t="s">
        <v>982</v>
      </c>
      <c r="K71" s="150">
        <f t="shared" si="0"/>
        <v>1</v>
      </c>
      <c r="L71" s="234" t="str">
        <f t="shared" si="4"/>
        <v>REGEN &amp; DUE DILIGENCE</v>
      </c>
      <c r="M71" s="235"/>
      <c r="N71" s="237" t="s">
        <v>1528</v>
      </c>
      <c r="O71" s="237"/>
      <c r="P71" s="237" t="s">
        <v>1529</v>
      </c>
      <c r="Q71" s="237"/>
      <c r="R71" s="159"/>
      <c r="S71" s="159"/>
      <c r="T71" s="159"/>
      <c r="U71" t="b">
        <f>VLOOKUP(queData[[#This Row],[Code]],RegenAg!$B$52:$C$76,2,0)=1</f>
        <v>0</v>
      </c>
      <c r="W71">
        <v>1</v>
      </c>
      <c r="X71">
        <v>1</v>
      </c>
      <c r="Y71">
        <f>IF(AND(References!$B$11,References!$B$12),1,IF(References!$B$11,IF(J71="CSDDD",0,1),IF(References!$B$12,IF(J71="REGEN",0,1),IF(J71="FSA",1,0))))</f>
        <v>1</v>
      </c>
    </row>
    <row r="72" spans="2:25" ht="37.5" hidden="1">
      <c r="B72" s="123"/>
      <c r="D72" s="231" t="s">
        <v>747</v>
      </c>
      <c r="E72" s="236" t="s">
        <v>752</v>
      </c>
      <c r="F72" s="301">
        <v>1</v>
      </c>
      <c r="G72" s="233">
        <f>queData[[#This Row],[Responder]]</f>
        <v>1</v>
      </c>
      <c r="H72" s="266"/>
      <c r="I72" s="231" t="s">
        <v>732</v>
      </c>
      <c r="J72" s="162" t="s">
        <v>983</v>
      </c>
      <c r="K72" s="150">
        <f t="shared" si="0"/>
        <v>1</v>
      </c>
      <c r="L72" s="234" t="str">
        <f t="shared" si="4"/>
        <v/>
      </c>
      <c r="M72" s="235"/>
      <c r="N72" s="237"/>
      <c r="O72" s="237"/>
      <c r="P72" s="237"/>
      <c r="Q72" s="237"/>
      <c r="R72" s="159"/>
      <c r="S72" s="159"/>
      <c r="T72" s="159"/>
      <c r="U72" t="e">
        <f>VLOOKUP(queData[[#This Row],[Code]],RegenAg!$B$52:$C$76,2,0)=1</f>
        <v>#N/A</v>
      </c>
      <c r="Y72">
        <f>IF(AND(References!$B$11,References!$B$12),1,IF(References!$B$11,IF(J72="CSDDD",0,1),IF(References!$B$12,IF(J72="REGEN",0,1),IF(J72="FSA",1,0))))</f>
        <v>1</v>
      </c>
    </row>
    <row r="73" spans="2:25" ht="175" hidden="1">
      <c r="B73" s="123"/>
      <c r="D73" s="231" t="s">
        <v>1352</v>
      </c>
      <c r="E73" s="232" t="s">
        <v>753</v>
      </c>
      <c r="F73" s="232" t="str">
        <f>'Checklist 2026'!F107</f>
        <v>Sim</v>
      </c>
      <c r="G73" s="233" t="str">
        <f>IF(queData[[#This Row],[Responder]]="Sim","Yes",IF(queData[[#This Row],[Responder]]="N/A","Yes","No"))</f>
        <v>Yes</v>
      </c>
      <c r="H73" s="246" t="s">
        <v>1293</v>
      </c>
      <c r="I73" s="231" t="s">
        <v>732</v>
      </c>
      <c r="J73" s="162" t="s">
        <v>982</v>
      </c>
      <c r="K73" s="150">
        <f t="shared" si="0"/>
        <v>1</v>
      </c>
      <c r="L73" s="234" t="str">
        <f t="shared" si="4"/>
        <v>DUE DILIGENCE</v>
      </c>
      <c r="M73" s="235"/>
      <c r="N73" s="237" t="s">
        <v>1530</v>
      </c>
      <c r="O73" s="237"/>
      <c r="P73" s="237" t="s">
        <v>1531</v>
      </c>
      <c r="Q73" s="237"/>
      <c r="R73" s="159"/>
      <c r="S73" s="159"/>
      <c r="T73" s="159"/>
      <c r="U73" t="e">
        <f>VLOOKUP(queData[[#This Row],[Code]],RegenAg!$B$52:$C$76,2,0)=1</f>
        <v>#N/A</v>
      </c>
      <c r="X73">
        <v>1</v>
      </c>
      <c r="Y73">
        <f>IF(AND(References!$B$11,References!$B$12),1,IF(References!$B$11,IF(J73="CSDDD",0,1),IF(References!$B$12,IF(J73="REGEN",0,1),IF(J73="FSA",1,0))))</f>
        <v>1</v>
      </c>
    </row>
    <row r="74" spans="2:25" ht="137.5" hidden="1">
      <c r="B74" s="123"/>
      <c r="D74" s="231" t="s">
        <v>754</v>
      </c>
      <c r="E74" s="236" t="s">
        <v>755</v>
      </c>
      <c r="F74" s="236" t="str">
        <f>'Checklist 2026'!F79</f>
        <v>Sim</v>
      </c>
      <c r="G74" s="233" t="str">
        <f>IF(queData[[#This Row],[Responder]]="Sim","Yes",IF(queData[[#This Row],[Responder]]="N/A","Yes","No"))</f>
        <v>Yes</v>
      </c>
      <c r="H74" s="267" t="s">
        <v>1294</v>
      </c>
      <c r="I74" s="231" t="s">
        <v>732</v>
      </c>
      <c r="J74" s="162" t="s">
        <v>982</v>
      </c>
      <c r="K74" s="150">
        <f t="shared" si="0"/>
        <v>1</v>
      </c>
      <c r="L74" s="234" t="str">
        <f t="shared" si="4"/>
        <v/>
      </c>
      <c r="M74" s="235"/>
      <c r="N74" s="237" t="s">
        <v>1063</v>
      </c>
      <c r="O74" s="237"/>
      <c r="P74" s="237" t="s">
        <v>1064</v>
      </c>
      <c r="Q74" s="237"/>
      <c r="R74" s="159"/>
      <c r="S74" s="159"/>
      <c r="T74" s="159"/>
      <c r="U74" t="e">
        <f>VLOOKUP(queData[[#This Row],[Code]],RegenAg!$B$52:$C$76,2,0)=1</f>
        <v>#N/A</v>
      </c>
      <c r="Y74">
        <f>IF(AND(References!$B$11,References!$B$12),1,IF(References!$B$11,IF(J74="CSDDD",0,1),IF(References!$B$12,IF(J74="REGEN",0,1),IF(J74="FSA",1,0))))</f>
        <v>1</v>
      </c>
    </row>
    <row r="75" spans="2:25" ht="162.5" hidden="1">
      <c r="B75" s="123"/>
      <c r="D75" s="231" t="s">
        <v>756</v>
      </c>
      <c r="E75" s="236" t="s">
        <v>757</v>
      </c>
      <c r="F75" s="236" t="str">
        <f>'Checklist 2026'!F103</f>
        <v>Sim</v>
      </c>
      <c r="G75" s="233" t="str">
        <f>IF(queData[[#This Row],[Responder]]="Sim","Yes",IF(queData[[#This Row],[Responder]]="N/A","Yes","No"))</f>
        <v>Yes</v>
      </c>
      <c r="H75" s="267" t="s">
        <v>1294</v>
      </c>
      <c r="I75" s="231" t="s">
        <v>732</v>
      </c>
      <c r="J75" s="162" t="s">
        <v>982</v>
      </c>
      <c r="K75" s="150">
        <f t="shared" si="0"/>
        <v>1</v>
      </c>
      <c r="L75" s="234" t="str">
        <f t="shared" si="4"/>
        <v>REGEN</v>
      </c>
      <c r="M75" s="235"/>
      <c r="N75" s="237" t="s">
        <v>1065</v>
      </c>
      <c r="O75" s="237"/>
      <c r="P75" s="237" t="s">
        <v>1066</v>
      </c>
      <c r="Q75" s="237"/>
      <c r="R75" s="159"/>
      <c r="S75" s="159"/>
      <c r="T75" s="159"/>
      <c r="U75" t="b">
        <f>VLOOKUP(queData[[#This Row],[Code]],RegenAg!$B$52:$C$76,2,0)=1</f>
        <v>0</v>
      </c>
      <c r="W75">
        <v>1</v>
      </c>
      <c r="Y75">
        <f>IF(AND(References!$B$11,References!$B$12),1,IF(References!$B$11,IF(J75="CSDDD",0,1),IF(References!$B$12,IF(J75="REGEN",0,1),IF(J75="FSA",1,0))))</f>
        <v>1</v>
      </c>
    </row>
    <row r="76" spans="2:25" ht="25" hidden="1">
      <c r="B76" s="123"/>
      <c r="D76" s="231" t="s">
        <v>751</v>
      </c>
      <c r="E76" s="236" t="s">
        <v>759</v>
      </c>
      <c r="F76" s="301">
        <f>'Checklist 2026'!F113</f>
        <v>0</v>
      </c>
      <c r="G76" s="307">
        <f>queData[[#This Row],[Responder]]</f>
        <v>0</v>
      </c>
      <c r="H76" s="266"/>
      <c r="I76" s="231" t="s">
        <v>732</v>
      </c>
      <c r="J76" s="162" t="s">
        <v>983</v>
      </c>
      <c r="K76" s="150">
        <f t="shared" si="0"/>
        <v>1</v>
      </c>
      <c r="L76" s="234" t="str">
        <f t="shared" si="4"/>
        <v/>
      </c>
      <c r="M76" s="235"/>
      <c r="N76" s="237"/>
      <c r="O76" s="237"/>
      <c r="P76" s="237"/>
      <c r="Q76" s="237"/>
      <c r="R76" s="159"/>
      <c r="S76" s="159"/>
      <c r="T76" s="159"/>
      <c r="U76" t="e">
        <f>VLOOKUP(queData[[#This Row],[Code]],RegenAg!$B$52:$C$76,2,0)=1</f>
        <v>#N/A</v>
      </c>
      <c r="Y76">
        <f>IF(AND(References!$B$11,References!$B$12),1,IF(References!$B$11,IF(J76="CSDDD",0,1),IF(References!$B$12,IF(J76="REGEN",0,1),IF(J76="FSA",1,0))))</f>
        <v>1</v>
      </c>
    </row>
    <row r="77" spans="2:25" ht="18" hidden="1">
      <c r="B77" s="123"/>
      <c r="D77" s="247"/>
      <c r="E77" s="242" t="s">
        <v>1387</v>
      </c>
      <c r="F77" s="242"/>
      <c r="G77" s="280"/>
      <c r="H77" s="268"/>
      <c r="I77" s="247"/>
      <c r="J77" s="164" t="s">
        <v>982</v>
      </c>
      <c r="K77" s="150">
        <f t="shared" si="0"/>
        <v>1</v>
      </c>
      <c r="L77" s="247"/>
      <c r="M77" s="235"/>
      <c r="N77" s="248"/>
      <c r="O77" s="248"/>
      <c r="P77" s="248"/>
      <c r="Q77" s="248"/>
      <c r="R77" s="159"/>
      <c r="S77" s="159"/>
      <c r="T77" s="159"/>
      <c r="U77" t="e">
        <f>VLOOKUP(queData[[#This Row],[Code]],RegenAg!$B$52:$C$76,2,0)=1</f>
        <v>#N/A</v>
      </c>
      <c r="Y77">
        <f>IF(AND(References!$B$11,References!$B$12),1,IF(References!$B$11,IF(J77="CSDDD",0,1),IF(References!$B$12,IF(J77="REGEN",0,1),IF(J77="FSA",1,0))))</f>
        <v>1</v>
      </c>
    </row>
    <row r="78" spans="2:25" ht="39" hidden="1">
      <c r="D78" s="249"/>
      <c r="E78" s="250" t="s">
        <v>1411</v>
      </c>
      <c r="F78" s="304"/>
      <c r="G78" s="233" t="s">
        <v>662</v>
      </c>
      <c r="H78" s="246" t="str">
        <f>IF(queData[[#This Row],[Answer]]="Yes","",HYPERLINK(References!F$15&amp;"F97","Go to FSA38"))</f>
        <v/>
      </c>
      <c r="I78" s="251"/>
      <c r="J78" s="162" t="s">
        <v>982</v>
      </c>
      <c r="K78" s="192">
        <f t="shared" ref="K78:K141" si="5">Y78</f>
        <v>1</v>
      </c>
      <c r="L78" s="234" t="str">
        <f t="shared" ref="L78:L93" si="6">IF(AND(W78=1,X78=1),"REGEN &amp; DUE DILIGENCE",IF(AND(W78=1,ISBLANK(X78)),"REGEN",IF(AND(ISBLANK(W78),X78=1),"DUE DILIGENCE","")))</f>
        <v/>
      </c>
      <c r="M78" s="235"/>
      <c r="N78" s="249"/>
      <c r="O78" s="249"/>
      <c r="P78" s="249"/>
      <c r="Q78" s="249"/>
      <c r="U78" t="e">
        <f>VLOOKUP(queData[[#This Row],[Code]],RegenAg!$B$52:$C$76,2,0)=1</f>
        <v>#N/A</v>
      </c>
      <c r="Y78">
        <f>IF(AND(References!$B$11,References!$B$12),1,IF(References!$B$11,IF(J78="CSDDD",0,1),IF(References!$B$12,IF(J78="REGEN",0,1),IF(J78="FSA",1,0))))</f>
        <v>1</v>
      </c>
    </row>
    <row r="79" spans="2:25" ht="125" hidden="1">
      <c r="B79" s="123"/>
      <c r="D79" s="231" t="s">
        <v>760</v>
      </c>
      <c r="E79" s="236" t="s">
        <v>761</v>
      </c>
      <c r="F79" s="236" t="str">
        <f>'Checklist 2026'!F32</f>
        <v>Sim</v>
      </c>
      <c r="G79" s="233" t="str">
        <f>IF(queData[[#This Row],[Responder]]="Sim","Yes",IF(queData[[#This Row],[Responder]]="N/A","Yes","No"))</f>
        <v>Yes</v>
      </c>
      <c r="H79" s="246" t="str">
        <f>IF(G$78="YES", "Intermediate","Not Applicable")</f>
        <v>Intermediate</v>
      </c>
      <c r="I79" s="231" t="s">
        <v>762</v>
      </c>
      <c r="J79" s="162" t="s">
        <v>982</v>
      </c>
      <c r="K79" s="150">
        <f t="shared" si="5"/>
        <v>1</v>
      </c>
      <c r="L79" s="234" t="str">
        <f t="shared" si="6"/>
        <v>DUE DILIGENCE</v>
      </c>
      <c r="M79" s="235"/>
      <c r="N79" s="237" t="s">
        <v>1067</v>
      </c>
      <c r="O79" s="237" t="s">
        <v>996</v>
      </c>
      <c r="P79" s="237" t="s">
        <v>1068</v>
      </c>
      <c r="Q79" s="237"/>
      <c r="R79" s="159"/>
      <c r="S79" s="159"/>
      <c r="T79" s="159"/>
      <c r="U79" t="e">
        <f>VLOOKUP(queData[[#This Row],[Code]],RegenAg!$B$52:$C$76,2,0)=1</f>
        <v>#N/A</v>
      </c>
      <c r="X79">
        <v>1</v>
      </c>
      <c r="Y79">
        <f>IF(AND(References!$B$11,References!$B$12),1,IF(References!$B$11,IF(J79="CSDDD",0,1),IF(References!$B$12,IF(J79="REGEN",0,1),IF(J79="FSA",1,0))))</f>
        <v>1</v>
      </c>
    </row>
    <row r="80" spans="2:25" ht="150" hidden="1">
      <c r="B80" s="123"/>
      <c r="D80" s="231" t="s">
        <v>758</v>
      </c>
      <c r="E80" s="236" t="s">
        <v>764</v>
      </c>
      <c r="F80" s="236" t="str">
        <f>'Checklist 2026'!F32</f>
        <v>Sim</v>
      </c>
      <c r="G80" s="233" t="str">
        <f>IF(queData[[#This Row],[Responder]]="Sim","Yes",IF(queData[[#This Row],[Responder]]="N/A","Yes","No"))</f>
        <v>Yes</v>
      </c>
      <c r="H80" s="246"/>
      <c r="I80" s="231"/>
      <c r="J80" s="162" t="s">
        <v>983</v>
      </c>
      <c r="K80" s="150">
        <f t="shared" si="5"/>
        <v>1</v>
      </c>
      <c r="L80" s="234" t="str">
        <f t="shared" si="6"/>
        <v>REGEN</v>
      </c>
      <c r="M80" s="235"/>
      <c r="N80" s="237"/>
      <c r="O80" s="237"/>
      <c r="P80" s="237" t="s">
        <v>1069</v>
      </c>
      <c r="Q80" s="237"/>
      <c r="R80" s="159"/>
      <c r="S80" s="159"/>
      <c r="T80" s="159"/>
      <c r="U80" t="b">
        <f>VLOOKUP(queData[[#This Row],[Code]],RegenAg!$B$52:$C$76,2,0)=1</f>
        <v>0</v>
      </c>
      <c r="W80">
        <v>1</v>
      </c>
      <c r="Y80">
        <f>IF(AND(References!$B$11,References!$B$12),1,IF(References!$B$11,IF(J80="CSDDD",0,1),IF(References!$B$12,IF(J80="REGEN",0,1),IF(J80="FSA",1,0))))</f>
        <v>1</v>
      </c>
    </row>
    <row r="81" spans="2:25" ht="25" hidden="1">
      <c r="B81" s="123"/>
      <c r="D81" s="231" t="s">
        <v>763</v>
      </c>
      <c r="E81" s="236" t="s">
        <v>1601</v>
      </c>
      <c r="F81" s="236" t="str">
        <f>'Checklist 2026'!F93</f>
        <v>Sim</v>
      </c>
      <c r="G81" s="233" t="str">
        <f>IF(queData[[#This Row],[Responder]]="Sim","Yes",IF(queData[[#This Row],[Responder]]="N/A","Yes","No"))</f>
        <v>Yes</v>
      </c>
      <c r="H81" s="266"/>
      <c r="I81" s="231"/>
      <c r="J81" s="162" t="s">
        <v>983</v>
      </c>
      <c r="K81" s="150">
        <f t="shared" si="5"/>
        <v>1</v>
      </c>
      <c r="L81" s="234" t="str">
        <f t="shared" si="6"/>
        <v>REGEN</v>
      </c>
      <c r="M81" s="235"/>
      <c r="N81" s="237"/>
      <c r="O81" s="237"/>
      <c r="P81" s="237"/>
      <c r="Q81" s="237"/>
      <c r="R81" s="159"/>
      <c r="S81" s="159"/>
      <c r="T81" s="159"/>
      <c r="U81" t="b">
        <f>VLOOKUP(queData[[#This Row],[Code]],RegenAg!$B$52:$C$76,2,0)=1</f>
        <v>0</v>
      </c>
      <c r="W81">
        <v>1</v>
      </c>
      <c r="Y81">
        <f>IF(AND(References!$B$11,References!$B$12),1,IF(References!$B$11,IF(J81="CSDDD",0,1),IF(References!$B$12,IF(J81="REGEN",0,1),IF(J81="FSA",1,0))))</f>
        <v>1</v>
      </c>
    </row>
    <row r="82" spans="2:25" ht="137.5" hidden="1">
      <c r="B82" s="123"/>
      <c r="D82" s="231" t="s">
        <v>766</v>
      </c>
      <c r="E82" s="236" t="s">
        <v>767</v>
      </c>
      <c r="F82" s="236" t="str">
        <f>'Checklist 2026'!F32</f>
        <v>Sim</v>
      </c>
      <c r="G82" s="233" t="str">
        <f>IF(queData[[#This Row],[Responder]]="Sim","Yes",IF(queData[[#This Row],[Responder]]="N/A","Yes","No"))</f>
        <v>Yes</v>
      </c>
      <c r="H82" s="246" t="str">
        <f>IF(G$78="YES", "Intermediate","Not Applicable")</f>
        <v>Intermediate</v>
      </c>
      <c r="I82" s="231" t="s">
        <v>762</v>
      </c>
      <c r="J82" s="162" t="s">
        <v>982</v>
      </c>
      <c r="K82" s="150">
        <f t="shared" si="5"/>
        <v>1</v>
      </c>
      <c r="L82" s="234" t="str">
        <f t="shared" si="6"/>
        <v>DUE DILIGENCE</v>
      </c>
      <c r="M82" s="235"/>
      <c r="N82" s="237" t="s">
        <v>1070</v>
      </c>
      <c r="O82" s="237" t="s">
        <v>1029</v>
      </c>
      <c r="P82" s="237" t="s">
        <v>1071</v>
      </c>
      <c r="Q82" s="237"/>
      <c r="R82" s="159"/>
      <c r="S82" s="159"/>
      <c r="T82" s="159"/>
      <c r="U82" t="e">
        <f>VLOOKUP(queData[[#This Row],[Code]],RegenAg!$B$52:$C$76,2,0)=1</f>
        <v>#N/A</v>
      </c>
      <c r="X82">
        <v>1</v>
      </c>
      <c r="Y82">
        <f>IF(AND(References!$B$11,References!$B$12),1,IF(References!$B$11,IF(J82="CSDDD",0,1),IF(References!$B$12,IF(J82="REGEN",0,1),IF(J82="FSA",1,0))))</f>
        <v>1</v>
      </c>
    </row>
    <row r="83" spans="2:25" ht="137.5" hidden="1">
      <c r="B83" s="123"/>
      <c r="D83" s="231" t="s">
        <v>768</v>
      </c>
      <c r="E83" s="236" t="s">
        <v>769</v>
      </c>
      <c r="F83" s="236" t="str">
        <f>'Checklist 2026'!F78</f>
        <v>Sim</v>
      </c>
      <c r="G83" s="233" t="str">
        <f>IF(queData[[#This Row],[Responder]]="Sim","Yes",IF(queData[[#This Row],[Responder]]="N/A","Yes","No"))</f>
        <v>Yes</v>
      </c>
      <c r="H83" s="267" t="str">
        <f>IF(G$78="YES", "Advanced","Not Applicable")</f>
        <v>Advanced</v>
      </c>
      <c r="I83" s="231" t="s">
        <v>762</v>
      </c>
      <c r="J83" s="162" t="s">
        <v>982</v>
      </c>
      <c r="K83" s="150">
        <f t="shared" si="5"/>
        <v>1</v>
      </c>
      <c r="L83" s="234" t="str">
        <f t="shared" si="6"/>
        <v>DUE DILIGENCE</v>
      </c>
      <c r="M83" s="235"/>
      <c r="N83" s="237" t="s">
        <v>1072</v>
      </c>
      <c r="O83" s="237" t="s">
        <v>999</v>
      </c>
      <c r="P83" s="237" t="s">
        <v>1073</v>
      </c>
      <c r="Q83" s="237"/>
      <c r="R83" s="159"/>
      <c r="S83" s="159"/>
      <c r="T83" s="159"/>
      <c r="U83" t="e">
        <f>VLOOKUP(queData[[#This Row],[Code]],RegenAg!$B$52:$C$76,2,0)=1</f>
        <v>#N/A</v>
      </c>
      <c r="X83">
        <v>1</v>
      </c>
      <c r="Y83">
        <f>IF(AND(References!$B$11,References!$B$12),1,IF(References!$B$11,IF(J83="CSDDD",0,1),IF(References!$B$12,IF(J83="REGEN",0,1),IF(J83="FSA",1,0))))</f>
        <v>1</v>
      </c>
    </row>
    <row r="84" spans="2:25" ht="50" hidden="1">
      <c r="B84" s="123"/>
      <c r="D84" s="231" t="s">
        <v>770</v>
      </c>
      <c r="E84" s="236" t="s">
        <v>771</v>
      </c>
      <c r="F84" s="305"/>
      <c r="G84" s="306"/>
      <c r="H84" s="266"/>
      <c r="I84" s="231"/>
      <c r="J84" s="162" t="s">
        <v>982</v>
      </c>
      <c r="K84" s="150">
        <f t="shared" si="5"/>
        <v>1</v>
      </c>
      <c r="L84" s="234" t="str">
        <f t="shared" si="6"/>
        <v>REGEN</v>
      </c>
      <c r="M84" s="235"/>
      <c r="N84" s="237" t="s">
        <v>1074</v>
      </c>
      <c r="O84" s="237"/>
      <c r="P84" s="237" t="s">
        <v>1075</v>
      </c>
      <c r="Q84" s="237" t="s">
        <v>1076</v>
      </c>
      <c r="R84" s="159"/>
      <c r="S84" s="159"/>
      <c r="T84" s="159"/>
      <c r="U84" t="e">
        <f>VLOOKUP(queData[[#This Row],[Code]],RegenAg!$B$52:$C$76,2,0)=1</f>
        <v>#N/A</v>
      </c>
      <c r="W84">
        <v>1</v>
      </c>
      <c r="Y84">
        <f>IF(AND(References!$B$11,References!$B$12),1,IF(References!$B$11,IF(J84="CSDDD",0,1),IF(References!$B$12,IF(J84="REGEN",0,1),IF(J84="FSA",1,0))))</f>
        <v>1</v>
      </c>
    </row>
    <row r="85" spans="2:25" ht="150" hidden="1">
      <c r="B85" s="123"/>
      <c r="D85" s="231" t="s">
        <v>1353</v>
      </c>
      <c r="E85" s="232" t="s">
        <v>772</v>
      </c>
      <c r="F85" s="232" t="str">
        <f>'Checklist 2026'!F79</f>
        <v>Sim</v>
      </c>
      <c r="G85" s="233" t="str">
        <f>IF(queData[[#This Row],[Responder]]="Sim","Yes",IF(queData[[#This Row],[Responder]]="N/A","Yes","No"))</f>
        <v>Yes</v>
      </c>
      <c r="H85" s="246" t="str">
        <f>IF(G$78="YES", "Intermediate","Not Applicable")</f>
        <v>Intermediate</v>
      </c>
      <c r="I85" s="231" t="s">
        <v>762</v>
      </c>
      <c r="J85" s="162" t="s">
        <v>982</v>
      </c>
      <c r="K85" s="150">
        <f t="shared" si="5"/>
        <v>1</v>
      </c>
      <c r="L85" s="234" t="str">
        <f t="shared" si="6"/>
        <v>REGEN</v>
      </c>
      <c r="M85" s="235"/>
      <c r="N85" s="237"/>
      <c r="O85" s="237" t="s">
        <v>999</v>
      </c>
      <c r="P85" s="237" t="s">
        <v>1532</v>
      </c>
      <c r="Q85" s="237" t="s">
        <v>1076</v>
      </c>
      <c r="R85" s="159"/>
      <c r="S85" s="159"/>
      <c r="T85" s="159"/>
      <c r="U85" t="b">
        <f>VLOOKUP(queData[[#This Row],[Code]],RegenAg!$B$52:$C$76,2,0)=1</f>
        <v>0</v>
      </c>
      <c r="W85">
        <v>1</v>
      </c>
      <c r="Y85">
        <f>IF(AND(References!$B$11,References!$B$12),1,IF(References!$B$11,IF(J85="CSDDD",0,1),IF(References!$B$12,IF(J85="REGEN",0,1),IF(J85="FSA",1,0))))</f>
        <v>1</v>
      </c>
    </row>
    <row r="86" spans="2:25" ht="125" hidden="1">
      <c r="B86" s="123"/>
      <c r="D86" s="231" t="s">
        <v>1354</v>
      </c>
      <c r="E86" s="232" t="s">
        <v>773</v>
      </c>
      <c r="F86" s="232" t="str">
        <f>'Checklist 2026'!F79</f>
        <v>Sim</v>
      </c>
      <c r="G86" s="233" t="str">
        <f>IF(queData[[#This Row],[Responder]]="Sim","Yes",IF(queData[[#This Row],[Responder]]="N/A","Yes","No"))</f>
        <v>Yes</v>
      </c>
      <c r="H86" s="246" t="str">
        <f>IF(G$78="YES", "Intermediate","Not Applicable")</f>
        <v>Intermediate</v>
      </c>
      <c r="I86" s="231" t="s">
        <v>762</v>
      </c>
      <c r="J86" s="162" t="s">
        <v>982</v>
      </c>
      <c r="K86" s="150">
        <f t="shared" si="5"/>
        <v>1</v>
      </c>
      <c r="L86" s="234" t="str">
        <f t="shared" si="6"/>
        <v>REGEN</v>
      </c>
      <c r="M86" s="235"/>
      <c r="N86" s="237"/>
      <c r="O86" s="237" t="s">
        <v>999</v>
      </c>
      <c r="P86" s="237" t="s">
        <v>1533</v>
      </c>
      <c r="Q86" s="237" t="s">
        <v>1076</v>
      </c>
      <c r="R86" s="159"/>
      <c r="S86" s="159"/>
      <c r="T86" s="159"/>
      <c r="U86" t="b">
        <f>VLOOKUP(queData[[#This Row],[Code]],RegenAg!$B$52:$C$76,2,0)=1</f>
        <v>0</v>
      </c>
      <c r="W86">
        <v>1</v>
      </c>
      <c r="Y86">
        <f>IF(AND(References!$B$11,References!$B$12),1,IF(References!$B$11,IF(J86="CSDDD",0,1),IF(References!$B$12,IF(J86="REGEN",0,1),IF(J86="FSA",1,0))))</f>
        <v>1</v>
      </c>
    </row>
    <row r="87" spans="2:25" ht="100" hidden="1">
      <c r="B87" s="123"/>
      <c r="D87" s="231" t="s">
        <v>1355</v>
      </c>
      <c r="E87" s="232" t="s">
        <v>774</v>
      </c>
      <c r="F87" s="232" t="str">
        <f>'Checklist 2026'!F79</f>
        <v>Sim</v>
      </c>
      <c r="G87" s="233" t="str">
        <f>IF(queData[[#This Row],[Responder]]="Sim","Yes",IF(queData[[#This Row],[Responder]]="N/A","Yes","No"))</f>
        <v>Yes</v>
      </c>
      <c r="H87" s="246" t="str">
        <f>IF(G$78="YES", "Intermediate","Not Applicable")</f>
        <v>Intermediate</v>
      </c>
      <c r="I87" s="231" t="s">
        <v>762</v>
      </c>
      <c r="J87" s="162" t="s">
        <v>982</v>
      </c>
      <c r="K87" s="150">
        <f t="shared" si="5"/>
        <v>1</v>
      </c>
      <c r="L87" s="234" t="str">
        <f t="shared" si="6"/>
        <v>REGEN</v>
      </c>
      <c r="M87" s="235"/>
      <c r="N87" s="237"/>
      <c r="O87" s="237" t="s">
        <v>999</v>
      </c>
      <c r="P87" s="237" t="s">
        <v>1534</v>
      </c>
      <c r="Q87" s="237" t="s">
        <v>1076</v>
      </c>
      <c r="R87" s="159"/>
      <c r="S87" s="159"/>
      <c r="T87" s="159"/>
      <c r="U87" t="b">
        <f>VLOOKUP(queData[[#This Row],[Code]],RegenAg!$B$52:$C$76,2,0)=1</f>
        <v>0</v>
      </c>
      <c r="W87">
        <v>1</v>
      </c>
      <c r="Y87">
        <f>IF(AND(References!$B$11,References!$B$12),1,IF(References!$B$11,IF(J87="CSDDD",0,1),IF(References!$B$12,IF(J87="REGEN",0,1),IF(J87="FSA",1,0))))</f>
        <v>1</v>
      </c>
    </row>
    <row r="88" spans="2:25" ht="87.5" hidden="1">
      <c r="B88" s="123"/>
      <c r="D88" s="231" t="s">
        <v>1356</v>
      </c>
      <c r="E88" s="232" t="s">
        <v>775</v>
      </c>
      <c r="F88" s="232" t="str">
        <f>'Checklist 2026'!F79</f>
        <v>Sim</v>
      </c>
      <c r="G88" s="233" t="str">
        <f>IF(queData[[#This Row],[Responder]]="Sim","Yes",IF(queData[[#This Row],[Responder]]="N/A","Yes","No"))</f>
        <v>Yes</v>
      </c>
      <c r="H88" s="246" t="str">
        <f>IF(G$78="YES", "Intermediate","Not Applicable")</f>
        <v>Intermediate</v>
      </c>
      <c r="I88" s="231" t="s">
        <v>762</v>
      </c>
      <c r="J88" s="162" t="s">
        <v>982</v>
      </c>
      <c r="K88" s="150">
        <f t="shared" si="5"/>
        <v>1</v>
      </c>
      <c r="L88" s="234" t="str">
        <f t="shared" si="6"/>
        <v>REGEN</v>
      </c>
      <c r="M88" s="235"/>
      <c r="N88" s="237"/>
      <c r="O88" s="237" t="s">
        <v>999</v>
      </c>
      <c r="P88" s="237" t="s">
        <v>1535</v>
      </c>
      <c r="Q88" s="237" t="s">
        <v>1076</v>
      </c>
      <c r="R88" s="159"/>
      <c r="S88" s="159"/>
      <c r="T88" s="159"/>
      <c r="U88" t="b">
        <f>VLOOKUP(queData[[#This Row],[Code]],RegenAg!$B$52:$C$76,2,0)=1</f>
        <v>0</v>
      </c>
      <c r="W88">
        <v>1</v>
      </c>
      <c r="Y88">
        <f>IF(AND(References!$B$11,References!$B$12),1,IF(References!$B$11,IF(J88="CSDDD",0,1),IF(References!$B$12,IF(J88="REGEN",0,1),IF(J88="FSA",1,0))))</f>
        <v>1</v>
      </c>
    </row>
    <row r="89" spans="2:25" ht="125" hidden="1">
      <c r="B89" s="123"/>
      <c r="D89" s="231" t="s">
        <v>776</v>
      </c>
      <c r="E89" s="236" t="s">
        <v>777</v>
      </c>
      <c r="F89" s="236" t="str">
        <f>'Checklist 2026'!F79</f>
        <v>Sim</v>
      </c>
      <c r="G89" s="233" t="str">
        <f>IF(queData[[#This Row],[Responder]]="Sim","Yes",IF(queData[[#This Row],[Responder]]="N/A","Yes","No"))</f>
        <v>Yes</v>
      </c>
      <c r="H89" s="267" t="str">
        <f>IF(G$78="YES", "Advanced","Not Applicable")</f>
        <v>Advanced</v>
      </c>
      <c r="I89" s="231" t="s">
        <v>762</v>
      </c>
      <c r="J89" s="162" t="s">
        <v>982</v>
      </c>
      <c r="K89" s="150">
        <f t="shared" si="5"/>
        <v>1</v>
      </c>
      <c r="L89" s="234" t="str">
        <f t="shared" si="6"/>
        <v/>
      </c>
      <c r="M89" s="235"/>
      <c r="N89" s="237" t="s">
        <v>1077</v>
      </c>
      <c r="O89" s="237"/>
      <c r="P89" s="237" t="s">
        <v>1078</v>
      </c>
      <c r="Q89" s="237"/>
      <c r="R89" s="159"/>
      <c r="S89" s="159"/>
      <c r="T89" s="159"/>
      <c r="U89" t="e">
        <f>VLOOKUP(queData[[#This Row],[Code]],RegenAg!$B$52:$C$76,2,0)=1</f>
        <v>#N/A</v>
      </c>
      <c r="Y89">
        <f>IF(AND(References!$B$11,References!$B$12),1,IF(References!$B$11,IF(J89="CSDDD",0,1),IF(References!$B$12,IF(J89="REGEN",0,1),IF(J89="FSA",1,0))))</f>
        <v>1</v>
      </c>
    </row>
    <row r="90" spans="2:25" ht="25" hidden="1">
      <c r="B90" s="123"/>
      <c r="D90" s="231" t="s">
        <v>778</v>
      </c>
      <c r="E90" s="236" t="s">
        <v>779</v>
      </c>
      <c r="F90" s="305"/>
      <c r="G90" s="306"/>
      <c r="H90" s="266"/>
      <c r="I90" s="231"/>
      <c r="J90" s="162" t="s">
        <v>982</v>
      </c>
      <c r="K90" s="150">
        <f t="shared" si="5"/>
        <v>1</v>
      </c>
      <c r="L90" s="234" t="str">
        <f t="shared" si="6"/>
        <v/>
      </c>
      <c r="M90" s="235"/>
      <c r="N90" s="237"/>
      <c r="O90" s="237"/>
      <c r="P90" s="237"/>
      <c r="Q90" s="237"/>
      <c r="R90" s="159"/>
      <c r="S90" s="159"/>
      <c r="T90" s="159"/>
      <c r="U90" t="e">
        <f>VLOOKUP(queData[[#This Row],[Code]],RegenAg!$B$52:$C$76,2,0)=1</f>
        <v>#N/A</v>
      </c>
      <c r="Y90">
        <f>IF(AND(References!$B$11,References!$B$12),1,IF(References!$B$11,IF(J90="CSDDD",0,1),IF(References!$B$12,IF(J90="REGEN",0,1),IF(J90="FSA",1,0))))</f>
        <v>1</v>
      </c>
    </row>
    <row r="91" spans="2:25" ht="237.5">
      <c r="B91" s="123"/>
      <c r="D91" s="231" t="s">
        <v>1357</v>
      </c>
      <c r="E91" s="232" t="s">
        <v>780</v>
      </c>
      <c r="F91" s="232" t="str">
        <f>'Checklist 2026'!F43</f>
        <v>Sim</v>
      </c>
      <c r="G91" s="233" t="str">
        <f>IF(queData[[#This Row],[Responder]]="Sim","Yes",IF(queData[[#This Row],[Responder]]="N/A","Yes","No"))</f>
        <v>Yes</v>
      </c>
      <c r="H91" s="246" t="str">
        <f t="shared" ref="H91:H93" si="7">IF(G$78="YES", "Intermediate","Not Applicable")</f>
        <v>Intermediate</v>
      </c>
      <c r="I91" s="231" t="s">
        <v>762</v>
      </c>
      <c r="J91" s="162" t="s">
        <v>982</v>
      </c>
      <c r="K91" s="150">
        <f t="shared" si="5"/>
        <v>1</v>
      </c>
      <c r="L91" s="234" t="str">
        <f t="shared" si="6"/>
        <v/>
      </c>
      <c r="M91" s="235"/>
      <c r="N91" s="237" t="s">
        <v>1536</v>
      </c>
      <c r="O91" s="237"/>
      <c r="P91" s="237" t="s">
        <v>1537</v>
      </c>
      <c r="Q91" s="237"/>
      <c r="R91" s="159"/>
      <c r="S91" s="159"/>
      <c r="T91" s="159"/>
      <c r="U91" t="e">
        <f>VLOOKUP(queData[[#This Row],[Code]],RegenAg!$B$52:$C$76,2,0)=1</f>
        <v>#N/A</v>
      </c>
      <c r="Y91">
        <f>IF(AND(References!$B$11,References!$B$12),1,IF(References!$B$11,IF(J91="CSDDD",0,1),IF(References!$B$12,IF(J91="REGEN",0,1),IF(J91="FSA",1,0))))</f>
        <v>1</v>
      </c>
    </row>
    <row r="92" spans="2:25" ht="137.5">
      <c r="B92" s="123"/>
      <c r="D92" s="231" t="s">
        <v>1358</v>
      </c>
      <c r="E92" s="232" t="s">
        <v>781</v>
      </c>
      <c r="F92" s="232" t="str">
        <f>'Checklist 2026'!F43</f>
        <v>Sim</v>
      </c>
      <c r="G92" s="233" t="str">
        <f>IF(queData[[#This Row],[Responder]]="Sim","Yes",IF(queData[[#This Row],[Responder]]="N/A","Yes","No"))</f>
        <v>Yes</v>
      </c>
      <c r="H92" s="246" t="str">
        <f t="shared" si="7"/>
        <v>Intermediate</v>
      </c>
      <c r="I92" s="231" t="s">
        <v>762</v>
      </c>
      <c r="J92" s="162" t="s">
        <v>982</v>
      </c>
      <c r="K92" s="150">
        <f t="shared" si="5"/>
        <v>1</v>
      </c>
      <c r="L92" s="234" t="str">
        <f t="shared" si="6"/>
        <v/>
      </c>
      <c r="M92" s="235"/>
      <c r="N92" s="237" t="s">
        <v>1538</v>
      </c>
      <c r="O92" s="237"/>
      <c r="P92" s="237" t="s">
        <v>1539</v>
      </c>
      <c r="Q92" s="237" t="s">
        <v>1540</v>
      </c>
      <c r="R92" s="159"/>
      <c r="S92" s="159"/>
      <c r="T92" s="159"/>
      <c r="U92" t="e">
        <f>VLOOKUP(queData[[#This Row],[Code]],RegenAg!$B$52:$C$76,2,0)=1</f>
        <v>#N/A</v>
      </c>
      <c r="Y92">
        <f>IF(AND(References!$B$11,References!$B$12),1,IF(References!$B$11,IF(J92="CSDDD",0,1),IF(References!$B$12,IF(J92="REGEN",0,1),IF(J92="FSA",1,0))))</f>
        <v>1</v>
      </c>
    </row>
    <row r="93" spans="2:25" ht="62.5">
      <c r="B93" s="123"/>
      <c r="D93" s="231" t="s">
        <v>1359</v>
      </c>
      <c r="E93" s="232" t="s">
        <v>782</v>
      </c>
      <c r="F93" s="232" t="str">
        <f>'Checklist 2026'!F43</f>
        <v>Sim</v>
      </c>
      <c r="G93" s="233" t="str">
        <f>IF(queData[[#This Row],[Responder]]="Sim","Yes",IF(queData[[#This Row],[Responder]]="N/A","Yes","No"))</f>
        <v>Yes</v>
      </c>
      <c r="H93" s="246" t="str">
        <f t="shared" si="7"/>
        <v>Intermediate</v>
      </c>
      <c r="I93" s="231" t="s">
        <v>762</v>
      </c>
      <c r="J93" s="162" t="s">
        <v>982</v>
      </c>
      <c r="K93" s="150">
        <f t="shared" si="5"/>
        <v>1</v>
      </c>
      <c r="L93" s="234" t="str">
        <f t="shared" si="6"/>
        <v/>
      </c>
      <c r="M93" s="235"/>
      <c r="N93" s="237" t="s">
        <v>1541</v>
      </c>
      <c r="O93" s="237"/>
      <c r="P93" s="237" t="s">
        <v>1542</v>
      </c>
      <c r="Q93" s="237"/>
      <c r="R93" s="159"/>
      <c r="S93" s="159"/>
      <c r="T93" s="159"/>
      <c r="U93" t="e">
        <f>VLOOKUP(queData[[#This Row],[Code]],RegenAg!$B$52:$C$76,2,0)=1</f>
        <v>#N/A</v>
      </c>
      <c r="Y93">
        <f>IF(AND(References!$B$11,References!$B$12),1,IF(References!$B$11,IF(J93="CSDDD",0,1),IF(References!$B$12,IF(J93="REGEN",0,1),IF(J93="FSA",1,0))))</f>
        <v>1</v>
      </c>
    </row>
    <row r="94" spans="2:25" ht="18" hidden="1">
      <c r="B94" s="123"/>
      <c r="D94" s="241"/>
      <c r="E94" s="242" t="s">
        <v>1388</v>
      </c>
      <c r="F94" s="242"/>
      <c r="G94" s="277"/>
      <c r="H94" s="241"/>
      <c r="I94" s="241"/>
      <c r="J94" s="164" t="s">
        <v>982</v>
      </c>
      <c r="K94" s="150">
        <f t="shared" si="5"/>
        <v>1</v>
      </c>
      <c r="L94" s="241"/>
      <c r="M94" s="235"/>
      <c r="N94" s="241"/>
      <c r="O94" s="241"/>
      <c r="P94" s="241"/>
      <c r="Q94" s="241"/>
      <c r="R94" s="159"/>
      <c r="S94" s="159"/>
      <c r="T94" s="159"/>
      <c r="U94" t="e">
        <f>VLOOKUP(queData[[#This Row],[Code]],RegenAg!$B$52:$C$76,2,0)=1</f>
        <v>#N/A</v>
      </c>
      <c r="Y94">
        <f>IF(AND(References!$B$11,References!$B$12),1,IF(References!$B$11,IF(J94="CSDDD",0,1),IF(References!$B$12,IF(J94="REGEN",0,1),IF(J94="FSA",1,0))))</f>
        <v>1</v>
      </c>
    </row>
    <row r="95" spans="2:25" ht="18" hidden="1">
      <c r="B95" s="123"/>
      <c r="D95" s="231"/>
      <c r="E95" s="244" t="s">
        <v>1389</v>
      </c>
      <c r="F95" s="244"/>
      <c r="G95" s="278"/>
      <c r="H95" s="243"/>
      <c r="I95" s="231"/>
      <c r="J95" s="162" t="s">
        <v>982</v>
      </c>
      <c r="K95" s="150">
        <f t="shared" si="5"/>
        <v>1</v>
      </c>
      <c r="L95" s="234" t="str">
        <f t="shared" ref="L95:L115" si="8">IF(AND(W95=1,X95=1),"REGEN &amp; DUE DILIGENCE",IF(AND(W95=1,ISBLANK(X95)),"REGEN",IF(AND(ISBLANK(W95),X95=1),"DUE DILIGENCE","")))</f>
        <v/>
      </c>
      <c r="M95" s="235"/>
      <c r="N95" s="237"/>
      <c r="O95" s="237"/>
      <c r="P95" s="237"/>
      <c r="Q95" s="237"/>
      <c r="R95" s="159"/>
      <c r="S95" s="159"/>
      <c r="T95" s="159"/>
      <c r="U95" t="e">
        <f>VLOOKUP(queData[[#This Row],[Code]],RegenAg!$B$52:$C$76,2,0)=1</f>
        <v>#N/A</v>
      </c>
      <c r="Y95">
        <f>IF(AND(References!$B$11,References!$B$12),1,IF(References!$B$11,IF(J95="CSDDD",0,1),IF(References!$B$12,IF(J95="REGEN",0,1),IF(J95="FSA",1,0))))</f>
        <v>1</v>
      </c>
    </row>
    <row r="96" spans="2:25" ht="52" hidden="1">
      <c r="B96" s="123"/>
      <c r="D96" s="231"/>
      <c r="E96" s="250" t="s">
        <v>1416</v>
      </c>
      <c r="F96" s="304"/>
      <c r="G96" s="233" t="s">
        <v>662</v>
      </c>
      <c r="H96" s="246" t="str">
        <f>IF(queData[[#This Row],[Answer]]="Yes","",HYPERLINK(References!F$15&amp;"F118","Go to FSA48"))</f>
        <v/>
      </c>
      <c r="I96" s="231"/>
      <c r="J96" s="162" t="s">
        <v>982</v>
      </c>
      <c r="K96" s="150">
        <f t="shared" si="5"/>
        <v>1</v>
      </c>
      <c r="L96" s="234" t="str">
        <f t="shared" si="8"/>
        <v/>
      </c>
      <c r="M96" s="235"/>
      <c r="N96" s="237"/>
      <c r="O96" s="237"/>
      <c r="P96" s="237"/>
      <c r="Q96" s="237"/>
      <c r="R96" s="159"/>
      <c r="S96" s="159"/>
      <c r="T96" s="159"/>
      <c r="U96" t="e">
        <f>VLOOKUP(queData[[#This Row],[Code]],RegenAg!$B$52:$C$76,2,0)=1</f>
        <v>#N/A</v>
      </c>
      <c r="Y96">
        <f>IF(AND(References!$B$11,References!$B$12),1,IF(References!$B$11,IF(J96="CSDDD",0,1),IF(References!$B$12,IF(J96="REGEN",0,1),IF(J96="FSA",1,0))))</f>
        <v>1</v>
      </c>
    </row>
    <row r="97" spans="2:25" ht="187.5" hidden="1">
      <c r="B97" s="123"/>
      <c r="D97" s="231" t="s">
        <v>783</v>
      </c>
      <c r="E97" s="236" t="s">
        <v>784</v>
      </c>
      <c r="F97" s="236" t="str">
        <f>'Checklist 2026'!F49</f>
        <v>Sim</v>
      </c>
      <c r="G97" s="233" t="str">
        <f>IF(queData[[#This Row],[Responder]]="Sim","Yes",IF(queData[[#This Row],[Responder]]="N/A","Yes","No"))</f>
        <v>Yes</v>
      </c>
      <c r="H97" s="265" t="str">
        <f>IF(G$96="YES", "Essential","Not Applicable")</f>
        <v>Essential</v>
      </c>
      <c r="I97" s="231" t="s">
        <v>785</v>
      </c>
      <c r="J97" s="162" t="s">
        <v>982</v>
      </c>
      <c r="K97" s="150">
        <f t="shared" si="5"/>
        <v>1</v>
      </c>
      <c r="L97" s="234" t="str">
        <f t="shared" si="8"/>
        <v/>
      </c>
      <c r="M97" s="235"/>
      <c r="N97" s="237" t="s">
        <v>1079</v>
      </c>
      <c r="O97" s="237"/>
      <c r="P97" s="237" t="s">
        <v>1080</v>
      </c>
      <c r="Q97" s="237"/>
      <c r="R97" s="159"/>
      <c r="S97" s="159"/>
      <c r="T97" s="159"/>
      <c r="U97" t="e">
        <f>VLOOKUP(queData[[#This Row],[Code]],RegenAg!$B$52:$C$76,2,0)=1</f>
        <v>#N/A</v>
      </c>
      <c r="Y97">
        <f>IF(AND(References!$B$11,References!$B$12),1,IF(References!$B$11,IF(J97="CSDDD",0,1),IF(References!$B$12,IF(J97="REGEN",0,1),IF(J97="FSA",1,0))))</f>
        <v>1</v>
      </c>
    </row>
    <row r="98" spans="2:25" ht="25" hidden="1">
      <c r="B98" s="123"/>
      <c r="D98" s="231" t="s">
        <v>786</v>
      </c>
      <c r="E98" s="236" t="s">
        <v>787</v>
      </c>
      <c r="F98" s="305"/>
      <c r="G98" s="303"/>
      <c r="H98" s="246"/>
      <c r="I98" s="231"/>
      <c r="J98" s="162" t="s">
        <v>982</v>
      </c>
      <c r="K98" s="150">
        <f t="shared" si="5"/>
        <v>1</v>
      </c>
      <c r="L98" s="234" t="str">
        <f t="shared" si="8"/>
        <v/>
      </c>
      <c r="M98" s="235"/>
      <c r="N98" s="237"/>
      <c r="O98" s="237"/>
      <c r="P98" s="237"/>
      <c r="Q98" s="237"/>
      <c r="R98" s="159"/>
      <c r="S98" s="159"/>
      <c r="T98" s="159"/>
      <c r="U98" t="e">
        <f>VLOOKUP(queData[[#This Row],[Code]],RegenAg!$B$52:$C$76,2,0)=1</f>
        <v>#N/A</v>
      </c>
      <c r="Y98">
        <f>IF(AND(References!$B$11,References!$B$12),1,IF(References!$B$11,IF(J98="CSDDD",0,1),IF(References!$B$12,IF(J98="REGEN",0,1),IF(J98="FSA",1,0))))</f>
        <v>1</v>
      </c>
    </row>
    <row r="99" spans="2:25" ht="25" hidden="1">
      <c r="B99" s="123"/>
      <c r="D99" s="231" t="s">
        <v>1360</v>
      </c>
      <c r="E99" s="232" t="s">
        <v>788</v>
      </c>
      <c r="F99" s="232" t="str">
        <f>'Checklist 2026'!F49</f>
        <v>Sim</v>
      </c>
      <c r="G99" s="233" t="str">
        <f>IF(queData[[#This Row],[Responder]]="Sim","Yes",IF(queData[[#This Row],[Responder]]="N/A","Yes","No"))</f>
        <v>Yes</v>
      </c>
      <c r="H99" s="265" t="str">
        <f>IF(G$96="YES", "Essential","Not Applicable")</f>
        <v>Essential</v>
      </c>
      <c r="I99" s="231" t="s">
        <v>785</v>
      </c>
      <c r="J99" s="162" t="s">
        <v>982</v>
      </c>
      <c r="K99" s="150">
        <f t="shared" si="5"/>
        <v>1</v>
      </c>
      <c r="L99" s="234" t="str">
        <f t="shared" si="8"/>
        <v>DUE DILIGENCE</v>
      </c>
      <c r="M99" s="235"/>
      <c r="N99" s="237" t="s">
        <v>1543</v>
      </c>
      <c r="O99" s="237"/>
      <c r="P99" s="237" t="s">
        <v>1544</v>
      </c>
      <c r="Q99" s="237"/>
      <c r="R99" s="159"/>
      <c r="S99" s="159"/>
      <c r="T99" s="159"/>
      <c r="U99" t="e">
        <f>VLOOKUP(queData[[#This Row],[Code]],RegenAg!$B$52:$C$76,2,0)=1</f>
        <v>#N/A</v>
      </c>
      <c r="X99">
        <v>1</v>
      </c>
      <c r="Y99">
        <f>IF(AND(References!$B$11,References!$B$12),1,IF(References!$B$11,IF(J99="CSDDD",0,1),IF(References!$B$12,IF(J99="REGEN",0,1),IF(J99="FSA",1,0))))</f>
        <v>1</v>
      </c>
    </row>
    <row r="100" spans="2:25" ht="75" hidden="1">
      <c r="B100" s="123"/>
      <c r="D100" s="231" t="s">
        <v>1361</v>
      </c>
      <c r="E100" s="232" t="s">
        <v>789</v>
      </c>
      <c r="F100" s="232" t="str">
        <f>'Checklist 2026'!F49</f>
        <v>Sim</v>
      </c>
      <c r="G100" s="233" t="str">
        <f>IF(queData[[#This Row],[Responder]]="Sim","Yes",IF(queData[[#This Row],[Responder]]="N/A","Yes","No"))</f>
        <v>Yes</v>
      </c>
      <c r="H100" s="246" t="str">
        <f>IF(G$96="YES", "Intermediate","Not Applicable")</f>
        <v>Intermediate</v>
      </c>
      <c r="I100" s="231" t="s">
        <v>785</v>
      </c>
      <c r="J100" s="162" t="s">
        <v>982</v>
      </c>
      <c r="K100" s="150">
        <f t="shared" si="5"/>
        <v>1</v>
      </c>
      <c r="L100" s="234" t="str">
        <f t="shared" si="8"/>
        <v>DUE DILIGENCE</v>
      </c>
      <c r="M100" s="235"/>
      <c r="N100" s="237" t="s">
        <v>1545</v>
      </c>
      <c r="O100" s="237"/>
      <c r="P100" s="237" t="s">
        <v>1546</v>
      </c>
      <c r="Q100" s="237"/>
      <c r="R100" s="159"/>
      <c r="S100" s="159"/>
      <c r="T100" s="159"/>
      <c r="U100" t="e">
        <f>VLOOKUP(queData[[#This Row],[Code]],RegenAg!$B$52:$C$76,2,0)=1</f>
        <v>#N/A</v>
      </c>
      <c r="X100">
        <v>1</v>
      </c>
      <c r="Y100">
        <f>IF(AND(References!$B$11,References!$B$12),1,IF(References!$B$11,IF(J100="CSDDD",0,1),IF(References!$B$12,IF(J100="REGEN",0,1),IF(J100="FSA",1,0))))</f>
        <v>1</v>
      </c>
    </row>
    <row r="101" spans="2:25" ht="112.5" hidden="1">
      <c r="B101" s="123"/>
      <c r="D101" s="231" t="s">
        <v>790</v>
      </c>
      <c r="E101" s="236" t="s">
        <v>791</v>
      </c>
      <c r="F101" s="236" t="str">
        <f>'Checklist 2026'!F49</f>
        <v>Sim</v>
      </c>
      <c r="G101" s="233" t="str">
        <f>IF(queData[[#This Row],[Responder]]="Sim","Yes",IF(queData[[#This Row],[Responder]]="N/A","Yes","No"))</f>
        <v>Yes</v>
      </c>
      <c r="H101" s="246" t="str">
        <f>IF(G$96="YES", "Intermediate","Not Applicable")</f>
        <v>Intermediate</v>
      </c>
      <c r="I101" s="231" t="s">
        <v>785</v>
      </c>
      <c r="J101" s="162" t="s">
        <v>982</v>
      </c>
      <c r="K101" s="150">
        <f t="shared" si="5"/>
        <v>1</v>
      </c>
      <c r="L101" s="234" t="str">
        <f t="shared" si="8"/>
        <v/>
      </c>
      <c r="M101" s="235"/>
      <c r="N101" s="237" t="s">
        <v>1081</v>
      </c>
      <c r="O101" s="237"/>
      <c r="P101" s="237" t="s">
        <v>1082</v>
      </c>
      <c r="Q101" s="237"/>
      <c r="R101" s="159"/>
      <c r="S101" s="159"/>
      <c r="T101" s="159"/>
      <c r="U101" t="e">
        <f>VLOOKUP(queData[[#This Row],[Code]],RegenAg!$B$52:$C$76,2,0)=1</f>
        <v>#N/A</v>
      </c>
      <c r="Y101">
        <f>IF(AND(References!$B$11,References!$B$12),1,IF(References!$B$11,IF(J101="CSDDD",0,1),IF(References!$B$12,IF(J101="REGEN",0,1),IF(J101="FSA",1,0))))</f>
        <v>1</v>
      </c>
    </row>
    <row r="102" spans="2:25" ht="25" hidden="1">
      <c r="B102" s="123"/>
      <c r="D102" s="231" t="s">
        <v>792</v>
      </c>
      <c r="E102" s="236" t="s">
        <v>793</v>
      </c>
      <c r="F102" s="236" t="str">
        <f>'Checklist 2026'!F49</f>
        <v>Sim</v>
      </c>
      <c r="G102" s="233" t="str">
        <f>IF(queData[[#This Row],[Responder]]="Sim","Yes",IF(queData[[#This Row],[Responder]]="N/A","Yes","No"))</f>
        <v>Yes</v>
      </c>
      <c r="H102" s="265" t="str">
        <f>IF(G$96="YES", "Essential","Not Applicable")</f>
        <v>Essential</v>
      </c>
      <c r="I102" s="231" t="s">
        <v>785</v>
      </c>
      <c r="J102" s="162" t="s">
        <v>982</v>
      </c>
      <c r="K102" s="150">
        <f t="shared" si="5"/>
        <v>1</v>
      </c>
      <c r="L102" s="234" t="str">
        <f t="shared" si="8"/>
        <v/>
      </c>
      <c r="M102" s="235"/>
      <c r="N102" s="237" t="s">
        <v>1083</v>
      </c>
      <c r="O102" s="237"/>
      <c r="P102" s="237"/>
      <c r="Q102" s="237"/>
      <c r="R102" s="159"/>
      <c r="S102" s="159"/>
      <c r="T102" s="159"/>
      <c r="U102" t="e">
        <f>VLOOKUP(queData[[#This Row],[Code]],RegenAg!$B$52:$C$76,2,0)=1</f>
        <v>#N/A</v>
      </c>
      <c r="Y102">
        <f>IF(AND(References!$B$11,References!$B$12),1,IF(References!$B$11,IF(J102="CSDDD",0,1),IF(References!$B$12,IF(J102="REGEN",0,1),IF(J102="FSA",1,0))))</f>
        <v>1</v>
      </c>
    </row>
    <row r="103" spans="2:25" ht="187.5" hidden="1">
      <c r="B103" s="123"/>
      <c r="D103" s="231" t="s">
        <v>794</v>
      </c>
      <c r="E103" s="236" t="s">
        <v>795</v>
      </c>
      <c r="F103" s="236" t="str">
        <f>IF(AND('Checklist 2026'!F32&lt;&gt;"Não",'Checklist 2026'!F33&lt;&gt;"Não"),"Sim","Não")</f>
        <v>Sim</v>
      </c>
      <c r="G103" s="233" t="str">
        <f>IF(queData[[#This Row],[Responder]]="Sim","Yes",IF(queData[[#This Row],[Responder]]="N/A","Yes","No"))</f>
        <v>Yes</v>
      </c>
      <c r="H103" s="246" t="str">
        <f>IF(G$96="YES", "Intermediate","Not Applicable")</f>
        <v>Intermediate</v>
      </c>
      <c r="I103" s="231" t="s">
        <v>785</v>
      </c>
      <c r="J103" s="162" t="s">
        <v>982</v>
      </c>
      <c r="K103" s="150">
        <f t="shared" si="5"/>
        <v>1</v>
      </c>
      <c r="L103" s="234" t="str">
        <f t="shared" si="8"/>
        <v>DUE DILIGENCE</v>
      </c>
      <c r="M103" s="235"/>
      <c r="N103" s="237" t="s">
        <v>1084</v>
      </c>
      <c r="O103" s="237"/>
      <c r="P103" s="237" t="s">
        <v>1085</v>
      </c>
      <c r="Q103" s="237"/>
      <c r="R103" s="159"/>
      <c r="S103" s="159"/>
      <c r="T103" s="159"/>
      <c r="U103" t="e">
        <f>VLOOKUP(queData[[#This Row],[Code]],RegenAg!$B$52:$C$76,2,0)=1</f>
        <v>#N/A</v>
      </c>
      <c r="X103">
        <v>1</v>
      </c>
      <c r="Y103">
        <f>IF(AND(References!$B$11,References!$B$12),1,IF(References!$B$11,IF(J103="CSDDD",0,1),IF(References!$B$12,IF(J103="REGEN",0,1),IF(J103="FSA",1,0))))</f>
        <v>1</v>
      </c>
    </row>
    <row r="104" spans="2:25" ht="18" hidden="1">
      <c r="B104" s="123"/>
      <c r="D104" s="231" t="s">
        <v>796</v>
      </c>
      <c r="E104" s="236" t="s">
        <v>797</v>
      </c>
      <c r="F104" s="305"/>
      <c r="G104" s="306"/>
      <c r="H104" s="266"/>
      <c r="I104" s="231"/>
      <c r="J104" s="162" t="s">
        <v>982</v>
      </c>
      <c r="K104" s="150">
        <f t="shared" si="5"/>
        <v>1</v>
      </c>
      <c r="L104" s="234" t="str">
        <f t="shared" si="8"/>
        <v/>
      </c>
      <c r="M104" s="235"/>
      <c r="N104" s="237"/>
      <c r="O104" s="237"/>
      <c r="P104" s="237"/>
      <c r="Q104" s="237"/>
      <c r="R104" s="159"/>
      <c r="S104" s="159"/>
      <c r="T104" s="159"/>
      <c r="U104" t="e">
        <f>VLOOKUP(queData[[#This Row],[Code]],RegenAg!$B$52:$C$76,2,0)=1</f>
        <v>#N/A</v>
      </c>
      <c r="Y104">
        <f>IF(AND(References!$B$11,References!$B$12),1,IF(References!$B$11,IF(J104="CSDDD",0,1),IF(References!$B$12,IF(J104="REGEN",0,1),IF(J104="FSA",1,0))))</f>
        <v>1</v>
      </c>
    </row>
    <row r="105" spans="2:25" ht="87.5" hidden="1">
      <c r="B105" s="123"/>
      <c r="D105" s="231" t="s">
        <v>1364</v>
      </c>
      <c r="E105" s="232" t="s">
        <v>798</v>
      </c>
      <c r="F105" s="232" t="str">
        <f>'Checklist 2026'!F32</f>
        <v>Sim</v>
      </c>
      <c r="G105" s="233" t="str">
        <f>IF(queData[[#This Row],[Responder]]="Sim","Yes",IF(queData[[#This Row],[Responder]]="N/A","Yes","No"))</f>
        <v>Yes</v>
      </c>
      <c r="H105" s="265" t="str">
        <f t="shared" ref="H105:H110" si="9">IF(G$96="YES", "Essential","Not Applicable")</f>
        <v>Essential</v>
      </c>
      <c r="I105" s="231" t="s">
        <v>785</v>
      </c>
      <c r="J105" s="162" t="s">
        <v>982</v>
      </c>
      <c r="K105" s="150">
        <f t="shared" si="5"/>
        <v>1</v>
      </c>
      <c r="L105" s="234" t="str">
        <f t="shared" si="8"/>
        <v/>
      </c>
      <c r="M105" s="235"/>
      <c r="N105" s="237" t="s">
        <v>1547</v>
      </c>
      <c r="O105" s="237"/>
      <c r="P105" s="237" t="s">
        <v>1548</v>
      </c>
      <c r="Q105" s="237"/>
      <c r="R105" s="159"/>
      <c r="S105" s="159"/>
      <c r="T105" s="159"/>
      <c r="U105" t="e">
        <f>VLOOKUP(queData[[#This Row],[Code]],RegenAg!$B$52:$C$76,2,0)=1</f>
        <v>#N/A</v>
      </c>
      <c r="Y105">
        <f>IF(AND(References!$B$11,References!$B$12),1,IF(References!$B$11,IF(J105="CSDDD",0,1),IF(References!$B$12,IF(J105="REGEN",0,1),IF(J105="FSA",1,0))))</f>
        <v>1</v>
      </c>
    </row>
    <row r="106" spans="2:25" ht="37.5" hidden="1">
      <c r="B106" s="123"/>
      <c r="D106" s="231" t="s">
        <v>1365</v>
      </c>
      <c r="E106" s="232" t="s">
        <v>799</v>
      </c>
      <c r="F106" s="232" t="str">
        <f>'Checklist 2026'!F32</f>
        <v>Sim</v>
      </c>
      <c r="G106" s="233" t="str">
        <f>IF(queData[[#This Row],[Responder]]="Sim","Yes",IF(queData[[#This Row],[Responder]]="N/A","Yes","No"))</f>
        <v>Yes</v>
      </c>
      <c r="H106" s="265" t="str">
        <f t="shared" si="9"/>
        <v>Essential</v>
      </c>
      <c r="I106" s="231" t="s">
        <v>785</v>
      </c>
      <c r="J106" s="162" t="s">
        <v>982</v>
      </c>
      <c r="K106" s="150">
        <f t="shared" si="5"/>
        <v>1</v>
      </c>
      <c r="L106" s="234" t="str">
        <f t="shared" si="8"/>
        <v/>
      </c>
      <c r="M106" s="235"/>
      <c r="N106" s="237" t="s">
        <v>1549</v>
      </c>
      <c r="O106" s="237"/>
      <c r="P106" s="237"/>
      <c r="Q106" s="237"/>
      <c r="R106" s="159"/>
      <c r="S106" s="159"/>
      <c r="T106" s="159"/>
      <c r="U106" t="e">
        <f>VLOOKUP(queData[[#This Row],[Code]],RegenAg!$B$52:$C$76,2,0)=1</f>
        <v>#N/A</v>
      </c>
      <c r="Y106">
        <f>IF(AND(References!$B$11,References!$B$12),1,IF(References!$B$11,IF(J106="CSDDD",0,1),IF(References!$B$12,IF(J106="REGEN",0,1),IF(J106="FSA",1,0))))</f>
        <v>1</v>
      </c>
    </row>
    <row r="107" spans="2:25" ht="112.5" hidden="1">
      <c r="B107" s="123"/>
      <c r="D107" s="231" t="s">
        <v>1366</v>
      </c>
      <c r="E107" s="232" t="s">
        <v>800</v>
      </c>
      <c r="F107" s="232" t="str">
        <f>'Checklist 2026'!F60</f>
        <v>Sim</v>
      </c>
      <c r="G107" s="233" t="str">
        <f>IF(queData[[#This Row],[Responder]]="Sim","Yes",IF(queData[[#This Row],[Responder]]="N/A","Yes","No"))</f>
        <v>Yes</v>
      </c>
      <c r="H107" s="265" t="str">
        <f t="shared" si="9"/>
        <v>Essential</v>
      </c>
      <c r="I107" s="231" t="s">
        <v>785</v>
      </c>
      <c r="J107" s="162" t="s">
        <v>982</v>
      </c>
      <c r="K107" s="150">
        <f t="shared" si="5"/>
        <v>1</v>
      </c>
      <c r="L107" s="234" t="str">
        <f t="shared" si="8"/>
        <v/>
      </c>
      <c r="M107" s="235"/>
      <c r="N107" s="237" t="s">
        <v>1550</v>
      </c>
      <c r="O107" s="237"/>
      <c r="P107" s="237" t="s">
        <v>1551</v>
      </c>
      <c r="Q107" s="237"/>
      <c r="R107" s="159"/>
      <c r="S107" s="159"/>
      <c r="T107" s="159"/>
      <c r="U107" t="e">
        <f>VLOOKUP(queData[[#This Row],[Code]],RegenAg!$B$52:$C$76,2,0)=1</f>
        <v>#N/A</v>
      </c>
      <c r="Y107">
        <f>IF(AND(References!$B$11,References!$B$12),1,IF(References!$B$11,IF(J107="CSDDD",0,1),IF(References!$B$12,IF(J107="REGEN",0,1),IF(J107="FSA",1,0))))</f>
        <v>1</v>
      </c>
    </row>
    <row r="108" spans="2:25" ht="175" hidden="1">
      <c r="B108" s="123"/>
      <c r="D108" s="231" t="s">
        <v>1367</v>
      </c>
      <c r="E108" s="232" t="s">
        <v>801</v>
      </c>
      <c r="F108" s="232" t="str">
        <f>'Checklist 2026'!F32</f>
        <v>Sim</v>
      </c>
      <c r="G108" s="233" t="str">
        <f>IF(queData[[#This Row],[Responder]]="Sim","Yes",IF(queData[[#This Row],[Responder]]="N/A","Yes","No"))</f>
        <v>Yes</v>
      </c>
      <c r="H108" s="265" t="str">
        <f t="shared" si="9"/>
        <v>Essential</v>
      </c>
      <c r="I108" s="231" t="s">
        <v>785</v>
      </c>
      <c r="J108" s="162" t="s">
        <v>982</v>
      </c>
      <c r="K108" s="150">
        <f t="shared" si="5"/>
        <v>1</v>
      </c>
      <c r="L108" s="234" t="str">
        <f t="shared" si="8"/>
        <v/>
      </c>
      <c r="M108" s="235"/>
      <c r="N108" s="237" t="s">
        <v>1552</v>
      </c>
      <c r="O108" s="237"/>
      <c r="P108" s="237" t="s">
        <v>1553</v>
      </c>
      <c r="Q108" s="237"/>
      <c r="R108" s="159"/>
      <c r="S108" s="159"/>
      <c r="T108" s="159"/>
      <c r="U108" t="e">
        <f>VLOOKUP(queData[[#This Row],[Code]],RegenAg!$B$52:$C$76,2,0)=1</f>
        <v>#N/A</v>
      </c>
      <c r="Y108">
        <f>IF(AND(References!$B$11,References!$B$12),1,IF(References!$B$11,IF(J108="CSDDD",0,1),IF(References!$B$12,IF(J108="REGEN",0,1),IF(J108="FSA",1,0))))</f>
        <v>1</v>
      </c>
    </row>
    <row r="109" spans="2:25" ht="150" hidden="1">
      <c r="B109" s="123"/>
      <c r="D109" s="231" t="s">
        <v>802</v>
      </c>
      <c r="E109" s="236" t="s">
        <v>803</v>
      </c>
      <c r="F109" s="236" t="str">
        <f>'Checklist 2026'!F51</f>
        <v>Sim</v>
      </c>
      <c r="G109" s="233" t="str">
        <f>IF(queData[[#This Row],[Responder]]="Sim","Yes",IF(queData[[#This Row],[Responder]]="N/A","Yes","No"))</f>
        <v>Yes</v>
      </c>
      <c r="H109" s="265" t="str">
        <f t="shared" si="9"/>
        <v>Essential</v>
      </c>
      <c r="I109" s="231" t="s">
        <v>785</v>
      </c>
      <c r="J109" s="162" t="s">
        <v>982</v>
      </c>
      <c r="K109" s="150">
        <f t="shared" si="5"/>
        <v>1</v>
      </c>
      <c r="L109" s="234" t="str">
        <f t="shared" si="8"/>
        <v/>
      </c>
      <c r="M109" s="235"/>
      <c r="N109" s="237" t="s">
        <v>1086</v>
      </c>
      <c r="O109" s="237"/>
      <c r="P109" s="237" t="s">
        <v>1087</v>
      </c>
      <c r="Q109" s="237"/>
      <c r="R109" s="159"/>
      <c r="S109" s="159"/>
      <c r="T109" s="159"/>
      <c r="U109" t="e">
        <f>VLOOKUP(queData[[#This Row],[Code]],RegenAg!$B$52:$C$76,2,0)=1</f>
        <v>#N/A</v>
      </c>
      <c r="Y109">
        <f>IF(AND(References!$B$11,References!$B$12),1,IF(References!$B$11,IF(J109="CSDDD",0,1),IF(References!$B$12,IF(J109="REGEN",0,1),IF(J109="FSA",1,0))))</f>
        <v>1</v>
      </c>
    </row>
    <row r="110" spans="2:25" ht="75" hidden="1">
      <c r="B110" s="123"/>
      <c r="D110" s="231" t="s">
        <v>804</v>
      </c>
      <c r="E110" s="236" t="s">
        <v>805</v>
      </c>
      <c r="F110" s="236" t="str">
        <f>IF(AND('Checklist 2026'!F25&lt;&gt;"Não",'Checklist 2026'!F24&lt;&gt;"Não",'Checklist 2026'!F42&lt;&gt;"Não",'Checklist 2026'!F38&lt;&gt;"Não"),"Sim","Não")</f>
        <v>Sim</v>
      </c>
      <c r="G110" s="233" t="str">
        <f>IF(queData[[#This Row],[Responder]]="Sim","Yes",IF(queData[[#This Row],[Responder]]="N/A","Yes","No"))</f>
        <v>Yes</v>
      </c>
      <c r="H110" s="265" t="str">
        <f t="shared" si="9"/>
        <v>Essential</v>
      </c>
      <c r="I110" s="231" t="s">
        <v>785</v>
      </c>
      <c r="J110" s="162" t="s">
        <v>982</v>
      </c>
      <c r="K110" s="150">
        <f t="shared" si="5"/>
        <v>1</v>
      </c>
      <c r="L110" s="234" t="str">
        <f t="shared" si="8"/>
        <v/>
      </c>
      <c r="M110" s="235"/>
      <c r="N110" s="237" t="s">
        <v>1088</v>
      </c>
      <c r="O110" s="237"/>
      <c r="P110" s="237" t="s">
        <v>1089</v>
      </c>
      <c r="Q110" s="237"/>
      <c r="R110" s="159"/>
      <c r="S110" s="159"/>
      <c r="T110" s="159"/>
      <c r="U110" t="e">
        <f>VLOOKUP(queData[[#This Row],[Code]],RegenAg!$B$52:$C$76,2,0)=1</f>
        <v>#N/A</v>
      </c>
      <c r="Y110">
        <f>IF(AND(References!$B$11,References!$B$12),1,IF(References!$B$11,IF(J110="CSDDD",0,1),IF(References!$B$12,IF(J110="REGEN",0,1),IF(J110="FSA",1,0))))</f>
        <v>1</v>
      </c>
    </row>
    <row r="111" spans="2:25" ht="37.5" hidden="1">
      <c r="B111" s="123"/>
      <c r="D111" s="231" t="s">
        <v>806</v>
      </c>
      <c r="E111" s="236" t="s">
        <v>807</v>
      </c>
      <c r="F111" s="305"/>
      <c r="G111" s="306"/>
      <c r="H111" s="266"/>
      <c r="I111" s="231"/>
      <c r="J111" s="162" t="s">
        <v>982</v>
      </c>
      <c r="K111" s="150">
        <f t="shared" si="5"/>
        <v>1</v>
      </c>
      <c r="L111" s="234" t="str">
        <f t="shared" si="8"/>
        <v/>
      </c>
      <c r="M111" s="235"/>
      <c r="N111" s="237" t="s">
        <v>1090</v>
      </c>
      <c r="O111" s="237" t="s">
        <v>999</v>
      </c>
      <c r="P111" s="237"/>
      <c r="Q111" s="237"/>
      <c r="R111" s="159"/>
      <c r="S111" s="159"/>
      <c r="T111" s="159"/>
      <c r="U111" t="e">
        <f>VLOOKUP(queData[[#This Row],[Code]],RegenAg!$B$52:$C$76,2,0)=1</f>
        <v>#N/A</v>
      </c>
      <c r="Y111">
        <f>IF(AND(References!$B$11,References!$B$12),1,IF(References!$B$11,IF(J111="CSDDD",0,1),IF(References!$B$12,IF(J111="REGEN",0,1),IF(J111="FSA",1,0))))</f>
        <v>1</v>
      </c>
    </row>
    <row r="112" spans="2:25" ht="25" hidden="1">
      <c r="B112" s="123"/>
      <c r="D112" s="231" t="s">
        <v>1368</v>
      </c>
      <c r="E112" s="232" t="s">
        <v>780</v>
      </c>
      <c r="F112" s="232" t="str">
        <f>'Checklist 2026'!F63</f>
        <v>Sim</v>
      </c>
      <c r="G112" s="233" t="str">
        <f>IF(queData[[#This Row],[Responder]]="Sim","Yes",IF(queData[[#This Row],[Responder]]="N/A","Yes","No"))</f>
        <v>Yes</v>
      </c>
      <c r="H112" s="246" t="str">
        <f t="shared" ref="H112:H115" si="10">IF(G$96="YES", "Intermediate","Not Applicable")</f>
        <v>Intermediate</v>
      </c>
      <c r="I112" s="231" t="s">
        <v>785</v>
      </c>
      <c r="J112" s="162" t="s">
        <v>982</v>
      </c>
      <c r="K112" s="150">
        <f t="shared" si="5"/>
        <v>1</v>
      </c>
      <c r="L112" s="234" t="str">
        <f t="shared" si="8"/>
        <v>DUE DILIGENCE</v>
      </c>
      <c r="M112" s="235"/>
      <c r="N112" s="237" t="s">
        <v>1554</v>
      </c>
      <c r="O112" s="237"/>
      <c r="P112" s="237" t="s">
        <v>1555</v>
      </c>
      <c r="Q112" s="237"/>
      <c r="R112" s="159"/>
      <c r="S112" s="159"/>
      <c r="T112" s="159"/>
      <c r="U112" t="e">
        <f>VLOOKUP(queData[[#This Row],[Code]],RegenAg!$B$52:$C$76,2,0)=1</f>
        <v>#N/A</v>
      </c>
      <c r="X112">
        <v>1</v>
      </c>
      <c r="Y112">
        <f>IF(AND(References!$B$11,References!$B$12),1,IF(References!$B$11,IF(J112="CSDDD",0,1),IF(References!$B$12,IF(J112="REGEN",0,1),IF(J112="FSA",1,0))))</f>
        <v>1</v>
      </c>
    </row>
    <row r="113" spans="2:25" ht="75" hidden="1">
      <c r="B113" s="123"/>
      <c r="D113" s="231" t="s">
        <v>1369</v>
      </c>
      <c r="E113" s="232" t="s">
        <v>781</v>
      </c>
      <c r="F113" s="232" t="str">
        <f>'Checklist 2026'!F61</f>
        <v>Sim</v>
      </c>
      <c r="G113" s="233" t="str">
        <f>IF(queData[[#This Row],[Responder]]="Sim","Yes",IF(queData[[#This Row],[Responder]]="N/A","Yes","No"))</f>
        <v>Yes</v>
      </c>
      <c r="H113" s="246" t="str">
        <f t="shared" si="10"/>
        <v>Intermediate</v>
      </c>
      <c r="I113" s="231" t="s">
        <v>785</v>
      </c>
      <c r="J113" s="162" t="s">
        <v>982</v>
      </c>
      <c r="K113" s="150">
        <f t="shared" si="5"/>
        <v>1</v>
      </c>
      <c r="L113" s="234" t="str">
        <f t="shared" si="8"/>
        <v>DUE DILIGENCE</v>
      </c>
      <c r="M113" s="235"/>
      <c r="N113" s="237" t="s">
        <v>1556</v>
      </c>
      <c r="O113" s="237"/>
      <c r="P113" s="237" t="s">
        <v>1555</v>
      </c>
      <c r="Q113" s="237" t="s">
        <v>1557</v>
      </c>
      <c r="R113" s="159"/>
      <c r="S113" s="159"/>
      <c r="T113" s="159"/>
      <c r="U113" t="e">
        <f>VLOOKUP(queData[[#This Row],[Code]],RegenAg!$B$52:$C$76,2,0)=1</f>
        <v>#N/A</v>
      </c>
      <c r="X113">
        <v>1</v>
      </c>
      <c r="Y113">
        <f>IF(AND(References!$B$11,References!$B$12),1,IF(References!$B$11,IF(J113="CSDDD",0,1),IF(References!$B$12,IF(J113="REGEN",0,1),IF(J113="FSA",1,0))))</f>
        <v>1</v>
      </c>
    </row>
    <row r="114" spans="2:25" ht="50" hidden="1">
      <c r="B114" s="123"/>
      <c r="D114" s="231" t="s">
        <v>1370</v>
      </c>
      <c r="E114" s="236" t="s">
        <v>782</v>
      </c>
      <c r="F114" s="236" t="str">
        <f>'Checklist 2026'!F26</f>
        <v>Sim</v>
      </c>
      <c r="G114" s="233" t="str">
        <f>IF(queData[[#This Row],[Responder]]="Sim","Yes",IF(queData[[#This Row],[Responder]]="N/A","Yes","No"))</f>
        <v>Yes</v>
      </c>
      <c r="H114" s="246" t="str">
        <f t="shared" si="10"/>
        <v>Intermediate</v>
      </c>
      <c r="I114" s="231" t="s">
        <v>785</v>
      </c>
      <c r="J114" s="162" t="s">
        <v>982</v>
      </c>
      <c r="K114" s="150">
        <f t="shared" si="5"/>
        <v>1</v>
      </c>
      <c r="L114" s="234" t="str">
        <f t="shared" si="8"/>
        <v>DUE DILIGENCE</v>
      </c>
      <c r="M114" s="235"/>
      <c r="N114" s="237" t="s">
        <v>1558</v>
      </c>
      <c r="O114" s="237"/>
      <c r="P114" s="237" t="s">
        <v>1559</v>
      </c>
      <c r="Q114" s="237"/>
      <c r="R114" s="159"/>
      <c r="S114" s="159"/>
      <c r="T114" s="159"/>
      <c r="U114" t="e">
        <f>VLOOKUP(queData[[#This Row],[Code]],RegenAg!$B$52:$C$76,2,0)=1</f>
        <v>#N/A</v>
      </c>
      <c r="X114">
        <v>1</v>
      </c>
      <c r="Y114">
        <f>IF(AND(References!$B$11,References!$B$12),1,IF(References!$B$11,IF(J114="CSDDD",0,1),IF(References!$B$12,IF(J114="REGEN",0,1),IF(J114="FSA",1,0))))</f>
        <v>1</v>
      </c>
    </row>
    <row r="115" spans="2:25" ht="150" hidden="1">
      <c r="B115" s="123"/>
      <c r="D115" s="231" t="s">
        <v>808</v>
      </c>
      <c r="E115" s="236" t="s">
        <v>809</v>
      </c>
      <c r="F115" s="236" t="str">
        <f>IF(AND('Checklist 2026'!F64&lt;&gt;"Não",'Checklist 2026'!F65&lt;&gt;"Não"),"Sim","Não")</f>
        <v>Sim</v>
      </c>
      <c r="G115" s="233" t="str">
        <f>IF(queData[[#This Row],[Responder]]="Sim","Yes",IF(queData[[#This Row],[Responder]]="N/A","Yes","No"))</f>
        <v>Yes</v>
      </c>
      <c r="H115" s="246" t="str">
        <f t="shared" si="10"/>
        <v>Intermediate</v>
      </c>
      <c r="I115" s="231" t="s">
        <v>785</v>
      </c>
      <c r="J115" s="162" t="s">
        <v>982</v>
      </c>
      <c r="K115" s="150">
        <f t="shared" si="5"/>
        <v>1</v>
      </c>
      <c r="L115" s="234" t="str">
        <f t="shared" si="8"/>
        <v>DUE DILIGENCE</v>
      </c>
      <c r="M115" s="235"/>
      <c r="N115" s="237" t="s">
        <v>1091</v>
      </c>
      <c r="O115" s="237"/>
      <c r="P115" s="237" t="s">
        <v>1092</v>
      </c>
      <c r="Q115" s="237"/>
      <c r="R115" s="159"/>
      <c r="S115" s="159"/>
      <c r="T115" s="159"/>
      <c r="U115" t="e">
        <f>VLOOKUP(queData[[#This Row],[Code]],RegenAg!$B$52:$C$76,2,0)=1</f>
        <v>#N/A</v>
      </c>
      <c r="X115">
        <v>1</v>
      </c>
      <c r="Y115">
        <f>IF(AND(References!$B$11,References!$B$12),1,IF(References!$B$11,IF(J115="CSDDD",0,1),IF(References!$B$12,IF(J115="REGEN",0,1),IF(J115="FSA",1,0))))</f>
        <v>1</v>
      </c>
    </row>
    <row r="116" spans="2:25" ht="18" hidden="1">
      <c r="B116" s="123"/>
      <c r="D116" s="241"/>
      <c r="E116" s="242" t="s">
        <v>1390</v>
      </c>
      <c r="F116" s="242"/>
      <c r="G116" s="277"/>
      <c r="H116" s="241"/>
      <c r="I116" s="241"/>
      <c r="J116" s="164" t="s">
        <v>982</v>
      </c>
      <c r="K116" s="150">
        <f t="shared" si="5"/>
        <v>1</v>
      </c>
      <c r="L116" s="241"/>
      <c r="M116" s="235"/>
      <c r="N116" s="241"/>
      <c r="O116" s="241"/>
      <c r="P116" s="241"/>
      <c r="Q116" s="241"/>
      <c r="R116" s="159"/>
      <c r="S116" s="159"/>
      <c r="T116" s="159"/>
      <c r="U116" t="e">
        <f>VLOOKUP(queData[[#This Row],[Code]],RegenAg!$B$52:$C$76,2,0)=1</f>
        <v>#N/A</v>
      </c>
      <c r="Y116">
        <f>IF(AND(References!$B$11,References!$B$12),1,IF(References!$B$11,IF(J116="CSDDD",0,1),IF(References!$B$12,IF(J116="REGEN",0,1),IF(J116="FSA",1,0))))</f>
        <v>1</v>
      </c>
    </row>
    <row r="117" spans="2:25" ht="187.5" hidden="1">
      <c r="B117" s="123"/>
      <c r="D117" s="231" t="s">
        <v>810</v>
      </c>
      <c r="E117" s="236" t="s">
        <v>811</v>
      </c>
      <c r="F117" s="305"/>
      <c r="G117" s="306"/>
      <c r="H117" s="266"/>
      <c r="I117" s="231"/>
      <c r="J117" s="162" t="s">
        <v>982</v>
      </c>
      <c r="K117" s="150">
        <f t="shared" si="5"/>
        <v>1</v>
      </c>
      <c r="L117" s="234" t="str">
        <f t="shared" ref="L117:L122" si="11">IF(AND(W117=1,X117=1),"REGEN &amp; DUE DILIGENCE",IF(AND(W117=1,ISBLANK(X117)),"REGEN",IF(AND(ISBLANK(W117),X117=1),"DUE DILIGENCE","")))</f>
        <v>REGEN</v>
      </c>
      <c r="M117" s="235"/>
      <c r="N117" s="237"/>
      <c r="O117" s="237" t="s">
        <v>1093</v>
      </c>
      <c r="P117" s="237" t="s">
        <v>1094</v>
      </c>
      <c r="Q117" s="237"/>
      <c r="R117" s="159"/>
      <c r="S117" s="159"/>
      <c r="T117" s="159"/>
      <c r="U117" t="e">
        <f>VLOOKUP(queData[[#This Row],[Code]],RegenAg!$B$52:$C$76,2,0)=1</f>
        <v>#N/A</v>
      </c>
      <c r="W117">
        <v>1</v>
      </c>
      <c r="Y117">
        <f>IF(AND(References!$B$11,References!$B$12),1,IF(References!$B$11,IF(J117="CSDDD",0,1),IF(References!$B$12,IF(J117="REGEN",0,1),IF(J117="FSA",1,0))))</f>
        <v>1</v>
      </c>
    </row>
    <row r="118" spans="2:25" ht="212.5" hidden="1">
      <c r="B118" s="123"/>
      <c r="D118" s="231" t="s">
        <v>1371</v>
      </c>
      <c r="E118" s="232" t="s">
        <v>813</v>
      </c>
      <c r="F118" s="232" t="str">
        <f>'Checklist 2026'!F55</f>
        <v>Sim</v>
      </c>
      <c r="G118" s="233" t="str">
        <f>IF(queData[[#This Row],[Responder]]="Sim","Yes",IF(queData[[#This Row],[Responder]]="N/A","Yes","No"))</f>
        <v>Yes</v>
      </c>
      <c r="H118" s="246" t="s">
        <v>1293</v>
      </c>
      <c r="I118" s="231" t="s">
        <v>812</v>
      </c>
      <c r="J118" s="162" t="s">
        <v>982</v>
      </c>
      <c r="K118" s="150">
        <f t="shared" si="5"/>
        <v>1</v>
      </c>
      <c r="L118" s="234" t="str">
        <f t="shared" si="11"/>
        <v>REGEN &amp; DUE DILIGENCE</v>
      </c>
      <c r="M118" s="235"/>
      <c r="N118" s="237"/>
      <c r="O118" s="237" t="s">
        <v>999</v>
      </c>
      <c r="P118" s="237" t="s">
        <v>1560</v>
      </c>
      <c r="Q118" s="237"/>
      <c r="R118" s="159"/>
      <c r="S118" s="159"/>
      <c r="T118" s="159"/>
      <c r="U118" t="b">
        <f>VLOOKUP(queData[[#This Row],[Code]],RegenAg!$B$52:$C$76,2,0)=1</f>
        <v>0</v>
      </c>
      <c r="W118">
        <v>1</v>
      </c>
      <c r="X118">
        <v>1</v>
      </c>
      <c r="Y118">
        <f>IF(AND(References!$B$11,References!$B$12),1,IF(References!$B$11,IF(J118="CSDDD",0,1),IF(References!$B$12,IF(J118="REGEN",0,1),IF(J118="FSA",1,0))))</f>
        <v>1</v>
      </c>
    </row>
    <row r="119" spans="2:25" ht="275" hidden="1">
      <c r="B119" s="123"/>
      <c r="D119" s="231" t="s">
        <v>1372</v>
      </c>
      <c r="E119" s="232" t="s">
        <v>814</v>
      </c>
      <c r="F119" s="232" t="str">
        <f>'Checklist 2026'!F56</f>
        <v>Sim</v>
      </c>
      <c r="G119" s="233" t="str">
        <f>IF(queData[[#This Row],[Responder]]="Sim","Yes",IF(queData[[#This Row],[Responder]]="N/A","Yes","No"))</f>
        <v>Yes</v>
      </c>
      <c r="H119" s="246" t="s">
        <v>1293</v>
      </c>
      <c r="I119" s="231" t="s">
        <v>812</v>
      </c>
      <c r="J119" s="162" t="s">
        <v>982</v>
      </c>
      <c r="K119" s="150">
        <f t="shared" si="5"/>
        <v>1</v>
      </c>
      <c r="L119" s="234" t="str">
        <f t="shared" si="11"/>
        <v>REGEN &amp; DUE DILIGENCE</v>
      </c>
      <c r="M119" s="235"/>
      <c r="N119" s="237" t="s">
        <v>1561</v>
      </c>
      <c r="O119" s="237" t="s">
        <v>999</v>
      </c>
      <c r="P119" s="237" t="s">
        <v>1562</v>
      </c>
      <c r="Q119" s="237"/>
      <c r="R119" s="159"/>
      <c r="S119" s="159"/>
      <c r="T119" s="159"/>
      <c r="U119" t="b">
        <f>VLOOKUP(queData[[#This Row],[Code]],RegenAg!$B$52:$C$76,2,0)=1</f>
        <v>0</v>
      </c>
      <c r="W119">
        <v>1</v>
      </c>
      <c r="X119">
        <v>1</v>
      </c>
      <c r="Y119">
        <f>IF(AND(References!$B$11,References!$B$12),1,IF(References!$B$11,IF(J119="CSDDD",0,1),IF(References!$B$12,IF(J119="REGEN",0,1),IF(J119="FSA",1,0))))</f>
        <v>1</v>
      </c>
    </row>
    <row r="120" spans="2:25" ht="37.5" hidden="1">
      <c r="B120" s="123"/>
      <c r="D120" s="231" t="s">
        <v>1373</v>
      </c>
      <c r="E120" s="232" t="s">
        <v>815</v>
      </c>
      <c r="F120" s="232" t="str">
        <f>'Checklist 2026'!F55</f>
        <v>Sim</v>
      </c>
      <c r="G120" s="233" t="str">
        <f>IF(queData[[#This Row],[Responder]]="Sim","Yes",IF(queData[[#This Row],[Responder]]="N/A","Yes","No"))</f>
        <v>Yes</v>
      </c>
      <c r="H120" s="246" t="s">
        <v>1293</v>
      </c>
      <c r="I120" s="231" t="s">
        <v>812</v>
      </c>
      <c r="J120" s="162" t="s">
        <v>982</v>
      </c>
      <c r="K120" s="150">
        <f t="shared" si="5"/>
        <v>1</v>
      </c>
      <c r="L120" s="234" t="str">
        <f t="shared" si="11"/>
        <v>REGEN &amp; DUE DILIGENCE</v>
      </c>
      <c r="M120" s="235"/>
      <c r="N120" s="237" t="s">
        <v>1563</v>
      </c>
      <c r="O120" s="237" t="s">
        <v>999</v>
      </c>
      <c r="P120" s="237"/>
      <c r="Q120" s="237"/>
      <c r="R120" s="159"/>
      <c r="S120" s="159"/>
      <c r="T120" s="159"/>
      <c r="U120" t="b">
        <f>VLOOKUP(queData[[#This Row],[Code]],RegenAg!$B$52:$C$76,2,0)=1</f>
        <v>0</v>
      </c>
      <c r="W120">
        <v>1</v>
      </c>
      <c r="X120">
        <v>1</v>
      </c>
      <c r="Y120">
        <f>IF(AND(References!$B$11,References!$B$12),1,IF(References!$B$11,IF(J120="CSDDD",0,1),IF(References!$B$12,IF(J120="REGEN",0,1),IF(J120="FSA",1,0))))</f>
        <v>1</v>
      </c>
    </row>
    <row r="121" spans="2:25" ht="62.5" hidden="1">
      <c r="B121" s="123"/>
      <c r="D121" s="231" t="s">
        <v>1374</v>
      </c>
      <c r="E121" s="232" t="s">
        <v>816</v>
      </c>
      <c r="F121" s="232" t="str">
        <f>'Checklist 2026'!F55</f>
        <v>Sim</v>
      </c>
      <c r="G121" s="233" t="str">
        <f>IF(queData[[#This Row],[Responder]]="Sim","Yes",IF(queData[[#This Row],[Responder]]="N/A","Yes","No"))</f>
        <v>Yes</v>
      </c>
      <c r="H121" s="246" t="s">
        <v>1293</v>
      </c>
      <c r="I121" s="231" t="s">
        <v>812</v>
      </c>
      <c r="J121" s="162" t="s">
        <v>982</v>
      </c>
      <c r="K121" s="150">
        <f t="shared" si="5"/>
        <v>1</v>
      </c>
      <c r="L121" s="234" t="str">
        <f t="shared" si="11"/>
        <v>REGEN &amp; DUE DILIGENCE</v>
      </c>
      <c r="M121" s="235"/>
      <c r="N121" s="237"/>
      <c r="O121" s="237" t="s">
        <v>999</v>
      </c>
      <c r="P121" s="237" t="s">
        <v>1564</v>
      </c>
      <c r="Q121" s="237"/>
      <c r="R121" s="159"/>
      <c r="S121" s="159"/>
      <c r="T121" s="159"/>
      <c r="U121" t="b">
        <f>VLOOKUP(queData[[#This Row],[Code]],RegenAg!$B$52:$C$76,2,0)=1</f>
        <v>0</v>
      </c>
      <c r="W121">
        <v>1</v>
      </c>
      <c r="X121">
        <v>1</v>
      </c>
      <c r="Y121">
        <f>IF(AND(References!$B$11,References!$B$12),1,IF(References!$B$11,IF(J121="CSDDD",0,1),IF(References!$B$12,IF(J121="REGEN",0,1),IF(J121="FSA",1,0))))</f>
        <v>1</v>
      </c>
    </row>
    <row r="122" spans="2:25" ht="187.5" hidden="1">
      <c r="B122" s="123"/>
      <c r="D122" s="231" t="s">
        <v>817</v>
      </c>
      <c r="E122" s="236" t="s">
        <v>818</v>
      </c>
      <c r="F122" s="236" t="str">
        <f>'Checklist 2026'!F79</f>
        <v>Sim</v>
      </c>
      <c r="G122" s="233" t="str">
        <f>IF(queData[[#This Row],[Responder]]="Sim","Yes",IF(queData[[#This Row],[Responder]]="N/A","Yes","No"))</f>
        <v>Yes</v>
      </c>
      <c r="H122" s="246" t="s">
        <v>1293</v>
      </c>
      <c r="I122" s="231" t="s">
        <v>812</v>
      </c>
      <c r="J122" s="162" t="s">
        <v>982</v>
      </c>
      <c r="K122" s="150">
        <f t="shared" si="5"/>
        <v>1</v>
      </c>
      <c r="L122" s="234" t="str">
        <f t="shared" si="11"/>
        <v/>
      </c>
      <c r="M122" s="235"/>
      <c r="N122" s="237" t="s">
        <v>1095</v>
      </c>
      <c r="O122" s="237"/>
      <c r="P122" s="237" t="s">
        <v>1096</v>
      </c>
      <c r="Q122" s="237"/>
      <c r="R122" s="159"/>
      <c r="S122" s="159"/>
      <c r="T122" s="159"/>
      <c r="U122" t="e">
        <f>VLOOKUP(queData[[#This Row],[Code]],RegenAg!$B$52:$C$76,2,0)=1</f>
        <v>#N/A</v>
      </c>
      <c r="Y122">
        <f>IF(AND(References!$B$11,References!$B$12),1,IF(References!$B$11,IF(J122="CSDDD",0,1),IF(References!$B$12,IF(J122="REGEN",0,1),IF(J122="FSA",1,0))))</f>
        <v>1</v>
      </c>
    </row>
    <row r="123" spans="2:25" ht="18" hidden="1">
      <c r="B123" s="123"/>
      <c r="D123" s="241"/>
      <c r="E123" s="242" t="s">
        <v>1391</v>
      </c>
      <c r="F123" s="242"/>
      <c r="G123" s="277"/>
      <c r="H123" s="241"/>
      <c r="I123" s="241"/>
      <c r="J123" s="164" t="s">
        <v>982</v>
      </c>
      <c r="K123" s="150">
        <f t="shared" si="5"/>
        <v>1</v>
      </c>
      <c r="L123" s="241"/>
      <c r="M123" s="235"/>
      <c r="N123" s="241"/>
      <c r="O123" s="241"/>
      <c r="P123" s="241"/>
      <c r="Q123" s="241"/>
      <c r="R123" s="159"/>
      <c r="S123" s="159"/>
      <c r="T123" s="159"/>
      <c r="U123" t="e">
        <f>VLOOKUP(queData[[#This Row],[Code]],RegenAg!$B$52:$C$76,2,0)=1</f>
        <v>#N/A</v>
      </c>
      <c r="Y123">
        <f>IF(AND(References!$B$11,References!$B$12),1,IF(References!$B$11,IF(J123="CSDDD",0,1),IF(References!$B$12,IF(J123="REGEN",0,1),IF(J123="FSA",1,0))))</f>
        <v>1</v>
      </c>
    </row>
    <row r="124" spans="2:25" ht="409.5" hidden="1">
      <c r="B124" s="123"/>
      <c r="D124" s="231" t="s">
        <v>819</v>
      </c>
      <c r="E124" s="236" t="s">
        <v>820</v>
      </c>
      <c r="F124" s="236" t="str">
        <f>IF(AND('Checklist 2026'!F28&lt;&gt;"Não",'Checklist 2026'!F27&lt;&gt;"Não",'Checklist 2026'!F29&lt;&gt;"Não",'Checklist 2026'!F66&lt;&gt;"Não"),"Sim","Não")</f>
        <v>Sim</v>
      </c>
      <c r="G124" s="233" t="str">
        <f>IF(queData[[#This Row],[Responder]]="Sim","Yes",IF(queData[[#This Row],[Responder]]="N/A","Yes","No"))</f>
        <v>Yes</v>
      </c>
      <c r="H124" s="246" t="s">
        <v>1293</v>
      </c>
      <c r="I124" s="231" t="s">
        <v>821</v>
      </c>
      <c r="J124" s="162" t="s">
        <v>982</v>
      </c>
      <c r="K124" s="150">
        <f t="shared" si="5"/>
        <v>1</v>
      </c>
      <c r="L124" s="234" t="str">
        <f t="shared" ref="L124:L126" si="12">IF(AND(W124=1,X124=1),"REGEN &amp; DUE DILIGENCE",IF(AND(W124=1,ISBLANK(X124)),"REGEN",IF(AND(ISBLANK(W124),X124=1),"DUE DILIGENCE","")))</f>
        <v>DUE DILIGENCE</v>
      </c>
      <c r="M124" s="235"/>
      <c r="N124" s="237" t="s">
        <v>1097</v>
      </c>
      <c r="O124" s="237" t="s">
        <v>1098</v>
      </c>
      <c r="P124" s="237" t="s">
        <v>1099</v>
      </c>
      <c r="Q124" s="237"/>
      <c r="R124" s="159"/>
      <c r="S124" s="159"/>
      <c r="T124" s="159"/>
      <c r="U124" t="e">
        <f>VLOOKUP(queData[[#This Row],[Code]],RegenAg!$B$52:$C$76,2,0)=1</f>
        <v>#N/A</v>
      </c>
      <c r="X124">
        <v>1</v>
      </c>
      <c r="Y124">
        <f>IF(AND(References!$B$11,References!$B$12),1,IF(References!$B$11,IF(J124="CSDDD",0,1),IF(References!$B$12,IF(J124="REGEN",0,1),IF(J124="FSA",1,0))))</f>
        <v>1</v>
      </c>
    </row>
    <row r="125" spans="2:25" ht="262.5" hidden="1">
      <c r="B125" s="123"/>
      <c r="D125" s="231" t="s">
        <v>822</v>
      </c>
      <c r="E125" s="236" t="s">
        <v>823</v>
      </c>
      <c r="F125" s="236" t="str">
        <f>IF('Checklist 2026'!F44&lt;&gt;"Não","Sim","Não")</f>
        <v>Sim</v>
      </c>
      <c r="G125" s="233" t="str">
        <f>IF(queData[[#This Row],[Responder]]="Sim","Yes",IF(queData[[#This Row],[Responder]]="N/A","Yes","No"))</f>
        <v>Yes</v>
      </c>
      <c r="H125" s="246" t="s">
        <v>1293</v>
      </c>
      <c r="I125" s="231" t="s">
        <v>821</v>
      </c>
      <c r="J125" s="162" t="s">
        <v>982</v>
      </c>
      <c r="K125" s="150">
        <f t="shared" si="5"/>
        <v>1</v>
      </c>
      <c r="L125" s="234" t="str">
        <f t="shared" si="12"/>
        <v/>
      </c>
      <c r="M125" s="235"/>
      <c r="N125" s="237" t="s">
        <v>1100</v>
      </c>
      <c r="O125" s="237"/>
      <c r="P125" s="237" t="s">
        <v>1101</v>
      </c>
      <c r="Q125" s="237"/>
      <c r="R125" s="159"/>
      <c r="S125" s="159"/>
      <c r="T125" s="159"/>
      <c r="U125" t="e">
        <f>VLOOKUP(queData[[#This Row],[Code]],RegenAg!$B$52:$C$76,2,0)=1</f>
        <v>#N/A</v>
      </c>
      <c r="Y125">
        <f>IF(AND(References!$B$11,References!$B$12),1,IF(References!$B$11,IF(J125="CSDDD",0,1),IF(References!$B$12,IF(J125="REGEN",0,1),IF(J125="FSA",1,0))))</f>
        <v>1</v>
      </c>
    </row>
    <row r="126" spans="2:25" ht="312.5" hidden="1">
      <c r="B126" s="123"/>
      <c r="D126" s="231" t="s">
        <v>824</v>
      </c>
      <c r="E126" s="236" t="s">
        <v>825</v>
      </c>
      <c r="F126" s="236" t="str">
        <f>'Checklist 2026'!F107</f>
        <v>Sim</v>
      </c>
      <c r="G126" s="233" t="str">
        <f>IF(queData[[#This Row],[Responder]]="Sim","Yes",IF(queData[[#This Row],[Responder]]="N/A","Yes","No"))</f>
        <v>Yes</v>
      </c>
      <c r="H126" s="246" t="s">
        <v>1293</v>
      </c>
      <c r="I126" s="231" t="s">
        <v>821</v>
      </c>
      <c r="J126" s="162" t="s">
        <v>982</v>
      </c>
      <c r="K126" s="150">
        <f t="shared" si="5"/>
        <v>1</v>
      </c>
      <c r="L126" s="234" t="str">
        <f t="shared" si="12"/>
        <v/>
      </c>
      <c r="M126" s="235"/>
      <c r="N126" s="237" t="s">
        <v>1102</v>
      </c>
      <c r="O126" s="237"/>
      <c r="P126" s="237" t="s">
        <v>1103</v>
      </c>
      <c r="Q126" s="237" t="s">
        <v>1104</v>
      </c>
      <c r="R126" s="159"/>
      <c r="S126" s="159"/>
      <c r="T126" s="159"/>
      <c r="U126" t="e">
        <f>VLOOKUP(queData[[#This Row],[Code]],RegenAg!$B$52:$C$76,2,0)=1</f>
        <v>#N/A</v>
      </c>
      <c r="Y126">
        <f>IF(AND(References!$B$11,References!$B$12),1,IF(References!$B$11,IF(J126="CSDDD",0,1),IF(References!$B$12,IF(J126="REGEN",0,1),IF(J126="FSA",1,0))))</f>
        <v>1</v>
      </c>
    </row>
    <row r="127" spans="2:25" ht="18" hidden="1">
      <c r="B127" s="123"/>
      <c r="D127" s="241"/>
      <c r="E127" s="242" t="s">
        <v>1392</v>
      </c>
      <c r="F127" s="242"/>
      <c r="G127" s="277"/>
      <c r="H127" s="241"/>
      <c r="I127" s="241"/>
      <c r="J127" s="164" t="s">
        <v>982</v>
      </c>
      <c r="K127" s="150">
        <f t="shared" si="5"/>
        <v>1</v>
      </c>
      <c r="L127" s="241"/>
      <c r="M127" s="235"/>
      <c r="N127" s="241"/>
      <c r="O127" s="241"/>
      <c r="P127" s="241"/>
      <c r="Q127" s="241"/>
      <c r="R127" s="159"/>
      <c r="S127" s="159"/>
      <c r="T127" s="159"/>
      <c r="U127" t="e">
        <f>VLOOKUP(queData[[#This Row],[Code]],RegenAg!$B$52:$C$76,2,0)=1</f>
        <v>#N/A</v>
      </c>
      <c r="Y127">
        <f>IF(AND(References!$B$11,References!$B$12),1,IF(References!$B$11,IF(J127="CSDDD",0,1),IF(References!$B$12,IF(J127="REGEN",0,1),IF(J127="FSA",1,0))))</f>
        <v>1</v>
      </c>
    </row>
    <row r="128" spans="2:25" ht="25" hidden="1">
      <c r="B128" s="123"/>
      <c r="D128" s="231"/>
      <c r="E128" s="244" t="s">
        <v>1393</v>
      </c>
      <c r="F128" s="244"/>
      <c r="G128" s="278"/>
      <c r="H128" s="243"/>
      <c r="I128" s="231" t="s">
        <v>828</v>
      </c>
      <c r="J128" s="162" t="s">
        <v>982</v>
      </c>
      <c r="K128" s="150">
        <f t="shared" si="5"/>
        <v>1</v>
      </c>
      <c r="L128" s="234" t="str">
        <f t="shared" ref="L128:L146" si="13">IF(AND(W128=1,X128=1),"REGEN &amp; DUE DILIGENCE",IF(AND(W128=1,ISBLANK(X128)),"REGEN",IF(AND(ISBLANK(W128),X128=1),"DUE DILIGENCE","")))</f>
        <v/>
      </c>
      <c r="M128" s="235"/>
      <c r="N128" s="237"/>
      <c r="O128" s="237"/>
      <c r="P128" s="237"/>
      <c r="Q128" s="237"/>
      <c r="R128" s="159"/>
      <c r="S128" s="159"/>
      <c r="T128" s="159"/>
      <c r="U128" t="e">
        <f>VLOOKUP(queData[[#This Row],[Code]],RegenAg!$B$52:$C$76,2,0)=1</f>
        <v>#N/A</v>
      </c>
      <c r="Y128">
        <f>IF(AND(References!$B$11,References!$B$12),1,IF(References!$B$11,IF(J128="CSDDD",0,1),IF(References!$B$12,IF(J128="REGEN",0,1),IF(J128="FSA",1,0))))</f>
        <v>1</v>
      </c>
    </row>
    <row r="129" spans="1:25" ht="212.5" hidden="1">
      <c r="B129" s="123"/>
      <c r="D129" s="231" t="s">
        <v>826</v>
      </c>
      <c r="E129" s="236" t="s">
        <v>827</v>
      </c>
      <c r="F129" s="236" t="str">
        <f>'Checklist 2026'!F107</f>
        <v>Sim</v>
      </c>
      <c r="G129" s="233" t="str">
        <f>IF(queData[[#This Row],[Responder]]="Sim","Yes",IF(queData[[#This Row],[Responder]]="N/A","Yes","No"))</f>
        <v>Yes</v>
      </c>
      <c r="H129" s="246" t="s">
        <v>1293</v>
      </c>
      <c r="I129" s="231" t="s">
        <v>828</v>
      </c>
      <c r="J129" s="162" t="s">
        <v>982</v>
      </c>
      <c r="K129" s="150">
        <f t="shared" si="5"/>
        <v>1</v>
      </c>
      <c r="L129" s="234" t="str">
        <f t="shared" si="13"/>
        <v/>
      </c>
      <c r="M129" s="235"/>
      <c r="N129" s="237" t="s">
        <v>1105</v>
      </c>
      <c r="O129" s="237" t="s">
        <v>1029</v>
      </c>
      <c r="P129" s="237" t="s">
        <v>1106</v>
      </c>
      <c r="Q129" s="237"/>
      <c r="R129" s="159"/>
      <c r="S129" s="159"/>
      <c r="T129" s="159"/>
      <c r="U129" t="e">
        <f>VLOOKUP(queData[[#This Row],[Code]],RegenAg!$B$52:$C$76,2,0)=1</f>
        <v>#N/A</v>
      </c>
      <c r="Y129">
        <f>IF(AND(References!$B$11,References!$B$12),1,IF(References!$B$11,IF(J129="CSDDD",0,1),IF(References!$B$12,IF(J129="REGEN",0,1),IF(J129="FSA",1,0))))</f>
        <v>1</v>
      </c>
    </row>
    <row r="130" spans="1:25" ht="87.5" hidden="1">
      <c r="B130" s="123"/>
      <c r="D130" s="231" t="s">
        <v>829</v>
      </c>
      <c r="E130" s="236" t="s">
        <v>830</v>
      </c>
      <c r="F130" s="236" t="str">
        <f>'Checklist 2026'!F98</f>
        <v>Sim</v>
      </c>
      <c r="G130" s="233" t="str">
        <f>IF(queData[[#This Row],[Responder]]="Sim","Yes",IF(queData[[#This Row],[Responder]]="N/A","Yes","No"))</f>
        <v>Yes</v>
      </c>
      <c r="H130" s="267" t="s">
        <v>1294</v>
      </c>
      <c r="I130" s="231" t="s">
        <v>828</v>
      </c>
      <c r="J130" s="162" t="s">
        <v>982</v>
      </c>
      <c r="K130" s="150">
        <f t="shared" si="5"/>
        <v>1</v>
      </c>
      <c r="L130" s="234" t="str">
        <f t="shared" si="13"/>
        <v/>
      </c>
      <c r="M130" s="235"/>
      <c r="N130" s="237" t="s">
        <v>1107</v>
      </c>
      <c r="O130" s="237"/>
      <c r="P130" s="237" t="s">
        <v>1108</v>
      </c>
      <c r="Q130" s="237"/>
      <c r="R130" s="159"/>
      <c r="S130" s="159"/>
      <c r="T130" s="159"/>
      <c r="U130" t="e">
        <f>VLOOKUP(queData[[#This Row],[Code]],RegenAg!$B$52:$C$76,2,0)=1</f>
        <v>#N/A</v>
      </c>
      <c r="Y130">
        <f>IF(AND(References!$B$11,References!$B$12),1,IF(References!$B$11,IF(J130="CSDDD",0,1),IF(References!$B$12,IF(J130="REGEN",0,1),IF(J130="FSA",1,0))))</f>
        <v>1</v>
      </c>
    </row>
    <row r="131" spans="1:25" ht="18" hidden="1">
      <c r="B131" s="123"/>
      <c r="D131" s="231"/>
      <c r="E131" s="244" t="s">
        <v>1394</v>
      </c>
      <c r="F131" s="244"/>
      <c r="G131" s="278"/>
      <c r="H131" s="243"/>
      <c r="I131" s="231"/>
      <c r="J131" s="162" t="s">
        <v>982</v>
      </c>
      <c r="K131" s="150">
        <f t="shared" si="5"/>
        <v>1</v>
      </c>
      <c r="L131" s="234" t="str">
        <f t="shared" si="13"/>
        <v/>
      </c>
      <c r="M131" s="235"/>
      <c r="N131" s="237"/>
      <c r="O131" s="237"/>
      <c r="P131" s="237"/>
      <c r="Q131" s="237"/>
      <c r="R131" s="159"/>
      <c r="S131" s="159"/>
      <c r="T131" s="159"/>
      <c r="U131" t="e">
        <f>VLOOKUP(queData[[#This Row],[Code]],RegenAg!$B$52:$C$76,2,0)=1</f>
        <v>#N/A</v>
      </c>
      <c r="Y131">
        <f>IF(AND(References!$B$11,References!$B$12),1,IF(References!$B$11,IF(J131="CSDDD",0,1),IF(References!$B$12,IF(J131="REGEN",0,1),IF(J131="FSA",1,0))))</f>
        <v>1</v>
      </c>
    </row>
    <row r="132" spans="1:25" ht="39">
      <c r="A132" t="s">
        <v>1414</v>
      </c>
      <c r="B132" s="123"/>
      <c r="D132" s="231"/>
      <c r="E132" s="309" t="s">
        <v>1395</v>
      </c>
      <c r="F132" s="250" t="str">
        <f>'Checklist 2026'!F16</f>
        <v>Não</v>
      </c>
      <c r="G132" s="311" t="str">
        <f>IF('Checklist 2026'!F16="Não","No","Yes")</f>
        <v>No</v>
      </c>
      <c r="H132" s="246" t="str">
        <f>IF(queData[[#This Row],[Answer]]="Yes","",HYPERLINK(References!F$15&amp;"F144","Go to FSA60"))</f>
        <v>Go to FSA60</v>
      </c>
      <c r="I132" s="231"/>
      <c r="J132" s="162" t="s">
        <v>982</v>
      </c>
      <c r="K132" s="150">
        <f t="shared" si="5"/>
        <v>1</v>
      </c>
      <c r="L132" s="234" t="str">
        <f t="shared" si="13"/>
        <v/>
      </c>
      <c r="M132" s="235"/>
      <c r="N132" s="237"/>
      <c r="O132" s="237"/>
      <c r="P132" s="237"/>
      <c r="Q132" s="237"/>
      <c r="R132" s="159"/>
      <c r="S132" s="159"/>
      <c r="T132" s="159"/>
      <c r="U132" t="e">
        <f>VLOOKUP(queData[[#This Row],[Code]],RegenAg!$B$52:$C$76,2,0)=1</f>
        <v>#N/A</v>
      </c>
      <c r="Y132">
        <f>IF(AND(References!$B$11,References!$B$12),1,IF(References!$B$11,IF(J132="CSDDD",0,1),IF(References!$B$12,IF(J132="REGEN",0,1),IF(J132="FSA",1,0))))</f>
        <v>1</v>
      </c>
    </row>
    <row r="133" spans="1:25" ht="162.5" hidden="1">
      <c r="B133" s="123"/>
      <c r="D133" s="231" t="s">
        <v>831</v>
      </c>
      <c r="E133" s="236" t="s">
        <v>832</v>
      </c>
      <c r="F133" s="236" t="str">
        <f>'Checklist 2026'!F92</f>
        <v>Sim</v>
      </c>
      <c r="G133" s="233" t="str">
        <f>IF(queData[[#This Row],[Responder]]="Sim","Yes",IF(queData[[#This Row],[Responder]]="N/A","Yes","No"))</f>
        <v>Yes</v>
      </c>
      <c r="H133" s="265" t="str">
        <f>IF(G$132="YES", "Essential","Not Applicable")</f>
        <v>Not Applicable</v>
      </c>
      <c r="I133" s="231" t="s">
        <v>828</v>
      </c>
      <c r="J133" s="162" t="s">
        <v>982</v>
      </c>
      <c r="K133" s="150">
        <f t="shared" si="5"/>
        <v>1</v>
      </c>
      <c r="L133" s="234" t="str">
        <f t="shared" si="13"/>
        <v/>
      </c>
      <c r="M133" s="235"/>
      <c r="N133" s="237" t="s">
        <v>1109</v>
      </c>
      <c r="O133" s="237"/>
      <c r="P133" s="237" t="s">
        <v>1110</v>
      </c>
      <c r="Q133" s="237"/>
      <c r="R133" s="159"/>
      <c r="S133" s="159"/>
      <c r="T133" s="159"/>
      <c r="U133" t="e">
        <f>VLOOKUP(queData[[#This Row],[Code]],RegenAg!$B$52:$C$76,2,0)=1</f>
        <v>#N/A</v>
      </c>
      <c r="Y133">
        <f>IF(AND(References!$B$11,References!$B$12),1,IF(References!$B$11,IF(J133="CSDDD",0,1),IF(References!$B$12,IF(J133="REGEN",0,1),IF(J133="FSA",1,0))))</f>
        <v>1</v>
      </c>
    </row>
    <row r="134" spans="1:25" ht="50" hidden="1">
      <c r="B134" s="123"/>
      <c r="D134" s="231" t="s">
        <v>833</v>
      </c>
      <c r="E134" s="236" t="s">
        <v>834</v>
      </c>
      <c r="F134" s="236" t="str">
        <f>'Checklist 2026'!F92</f>
        <v>Sim</v>
      </c>
      <c r="G134" s="233" t="str">
        <f>IF(queData[[#This Row],[Responder]]="Sim","Yes",IF(queData[[#This Row],[Responder]]="N/A","Yes","No"))</f>
        <v>Yes</v>
      </c>
      <c r="H134" s="265" t="str">
        <f>IF(G$132="YES", "Essential","Not Applicable")</f>
        <v>Not Applicable</v>
      </c>
      <c r="I134" s="231" t="s">
        <v>828</v>
      </c>
      <c r="J134" s="162" t="s">
        <v>982</v>
      </c>
      <c r="K134" s="150">
        <f t="shared" si="5"/>
        <v>1</v>
      </c>
      <c r="L134" s="234" t="str">
        <f t="shared" si="13"/>
        <v/>
      </c>
      <c r="M134" s="235"/>
      <c r="N134" s="237" t="s">
        <v>1111</v>
      </c>
      <c r="O134" s="237"/>
      <c r="P134" s="237"/>
      <c r="Q134" s="237"/>
      <c r="R134" s="159"/>
      <c r="S134" s="159"/>
      <c r="T134" s="159"/>
      <c r="U134" t="e">
        <f>VLOOKUP(queData[[#This Row],[Code]],RegenAg!$B$52:$C$76,2,0)=1</f>
        <v>#N/A</v>
      </c>
      <c r="Y134">
        <f>IF(AND(References!$B$11,References!$B$12),1,IF(References!$B$11,IF(J134="CSDDD",0,1),IF(References!$B$12,IF(J134="REGEN",0,1),IF(J134="FSA",1,0))))</f>
        <v>1</v>
      </c>
    </row>
    <row r="135" spans="1:25" ht="350" hidden="1">
      <c r="B135" s="123"/>
      <c r="D135" s="231" t="s">
        <v>835</v>
      </c>
      <c r="E135" s="236" t="s">
        <v>836</v>
      </c>
      <c r="F135" s="236" t="str">
        <f>'Checklist 2026'!F31</f>
        <v>Sim</v>
      </c>
      <c r="G135" s="233" t="str">
        <f>IF(queData[[#This Row],[Responder]]="Sim","Yes",IF(queData[[#This Row],[Responder]]="N/A","Yes","No"))</f>
        <v>Yes</v>
      </c>
      <c r="H135" s="265" t="str">
        <f>IF(G$132="YES", "Essential","Not Applicable")</f>
        <v>Not Applicable</v>
      </c>
      <c r="I135" s="231" t="s">
        <v>828</v>
      </c>
      <c r="J135" s="162" t="s">
        <v>982</v>
      </c>
      <c r="K135" s="150">
        <f t="shared" si="5"/>
        <v>1</v>
      </c>
      <c r="L135" s="234" t="str">
        <f t="shared" si="13"/>
        <v/>
      </c>
      <c r="M135" s="235"/>
      <c r="N135" s="237" t="s">
        <v>1112</v>
      </c>
      <c r="O135" s="237" t="s">
        <v>1113</v>
      </c>
      <c r="P135" s="237" t="s">
        <v>1114</v>
      </c>
      <c r="Q135" s="237" t="s">
        <v>1115</v>
      </c>
      <c r="R135" s="159"/>
      <c r="S135" s="159"/>
      <c r="T135" s="159"/>
      <c r="U135" t="e">
        <f>VLOOKUP(queData[[#This Row],[Code]],RegenAg!$B$52:$C$76,2,0)=1</f>
        <v>#N/A</v>
      </c>
      <c r="Y135">
        <f>IF(AND(References!$B$11,References!$B$12),1,IF(References!$B$11,IF(J135="CSDDD",0,1),IF(References!$B$12,IF(J135="REGEN",0,1),IF(J135="FSA",1,0))))</f>
        <v>1</v>
      </c>
    </row>
    <row r="136" spans="1:25" ht="137.5" hidden="1">
      <c r="B136" s="123"/>
      <c r="D136" s="231" t="s">
        <v>837</v>
      </c>
      <c r="E136" s="308" t="s">
        <v>838</v>
      </c>
      <c r="F136" s="308" t="str">
        <f>'Checklist 2026'!F92</f>
        <v>Sim</v>
      </c>
      <c r="G136" s="233" t="str">
        <f>IF(queData[[#This Row],[Responder]]="Sim","Yes",IF(queData[[#This Row],[Responder]]="N/A","Yes","No"))</f>
        <v>Yes</v>
      </c>
      <c r="H136" s="246" t="str">
        <f>IF(G$132="YES", "Intermediate","Not Applicable")</f>
        <v>Not Applicable</v>
      </c>
      <c r="I136" s="231" t="s">
        <v>828</v>
      </c>
      <c r="J136" s="162" t="s">
        <v>982</v>
      </c>
      <c r="K136" s="150">
        <f t="shared" si="5"/>
        <v>1</v>
      </c>
      <c r="L136" s="234" t="str">
        <f t="shared" si="13"/>
        <v/>
      </c>
      <c r="M136" s="235"/>
      <c r="N136" s="237" t="s">
        <v>1116</v>
      </c>
      <c r="O136" s="237"/>
      <c r="P136" s="237" t="s">
        <v>1117</v>
      </c>
      <c r="Q136" s="237"/>
      <c r="R136" s="159"/>
      <c r="S136" s="159"/>
      <c r="T136" s="159"/>
      <c r="U136" t="e">
        <f>VLOOKUP(queData[[#This Row],[Code]],RegenAg!$B$52:$C$76,2,0)=1</f>
        <v>#N/A</v>
      </c>
      <c r="Y136">
        <f>IF(AND(References!$B$11,References!$B$12),1,IF(References!$B$11,IF(J136="CSDDD",0,1),IF(References!$B$12,IF(J136="REGEN",0,1),IF(J136="FSA",1,0))))</f>
        <v>1</v>
      </c>
    </row>
    <row r="137" spans="1:25" ht="200" hidden="1">
      <c r="B137" s="123"/>
      <c r="D137" s="231" t="s">
        <v>839</v>
      </c>
      <c r="E137" s="236" t="s">
        <v>840</v>
      </c>
      <c r="F137" s="236"/>
      <c r="G137" s="279"/>
      <c r="H137" s="266"/>
      <c r="I137" s="231"/>
      <c r="J137" s="162" t="s">
        <v>982</v>
      </c>
      <c r="K137" s="150">
        <f t="shared" si="5"/>
        <v>1</v>
      </c>
      <c r="L137" s="234" t="str">
        <f t="shared" si="13"/>
        <v>REGEN</v>
      </c>
      <c r="M137" s="235"/>
      <c r="N137" s="237" t="s">
        <v>1118</v>
      </c>
      <c r="O137" s="237" t="s">
        <v>1119</v>
      </c>
      <c r="P137" s="237" t="s">
        <v>1120</v>
      </c>
      <c r="Q137" s="237"/>
      <c r="R137" s="159"/>
      <c r="S137" s="159"/>
      <c r="T137" s="159"/>
      <c r="U137" t="e">
        <f>VLOOKUP(queData[[#This Row],[Code]],RegenAg!$B$52:$C$76,2,0)=1</f>
        <v>#N/A</v>
      </c>
      <c r="W137">
        <v>1</v>
      </c>
      <c r="Y137">
        <f>IF(AND(References!$B$11,References!$B$12),1,IF(References!$B$11,IF(J137="CSDDD",0,1),IF(References!$B$12,IF(J137="REGEN",0,1),IF(J137="FSA",1,0))))</f>
        <v>1</v>
      </c>
    </row>
    <row r="138" spans="1:25" ht="75" hidden="1">
      <c r="B138" s="123"/>
      <c r="D138" s="231" t="s">
        <v>1375</v>
      </c>
      <c r="E138" s="232" t="s">
        <v>841</v>
      </c>
      <c r="F138" s="232" t="str">
        <f>'Checklist 2026'!F35</f>
        <v>Sim</v>
      </c>
      <c r="G138" s="233" t="str">
        <f>IF(queData[[#This Row],[Responder]]="Sim","Yes",IF(queData[[#This Row],[Responder]]="N/A","Yes","No"))</f>
        <v>Yes</v>
      </c>
      <c r="H138" s="246" t="str">
        <f>IF(G$132="YES", "Intermediate","Not Applicable")</f>
        <v>Not Applicable</v>
      </c>
      <c r="I138" s="231" t="s">
        <v>828</v>
      </c>
      <c r="J138" s="162" t="s">
        <v>982</v>
      </c>
      <c r="K138" s="150">
        <f t="shared" si="5"/>
        <v>1</v>
      </c>
      <c r="L138" s="234" t="str">
        <f t="shared" si="13"/>
        <v>REGEN</v>
      </c>
      <c r="M138" s="235"/>
      <c r="N138" s="237" t="s">
        <v>1565</v>
      </c>
      <c r="O138" s="237" t="s">
        <v>999</v>
      </c>
      <c r="P138" s="237" t="s">
        <v>1566</v>
      </c>
      <c r="Q138" s="237"/>
      <c r="R138" s="159"/>
      <c r="S138" s="159"/>
      <c r="T138" s="159"/>
      <c r="U138" t="b">
        <f>VLOOKUP(queData[[#This Row],[Code]],RegenAg!$B$52:$C$76,2,0)=1</f>
        <v>0</v>
      </c>
      <c r="W138">
        <v>1</v>
      </c>
      <c r="Y138">
        <f>IF(AND(References!$B$11,References!$B$12),1,IF(References!$B$11,IF(J138="CSDDD",0,1),IF(References!$B$12,IF(J138="REGEN",0,1),IF(J138="FSA",1,0))))</f>
        <v>1</v>
      </c>
    </row>
    <row r="139" spans="1:25" ht="125" hidden="1">
      <c r="B139" s="123"/>
      <c r="D139" s="231" t="s">
        <v>1376</v>
      </c>
      <c r="E139" s="232" t="s">
        <v>842</v>
      </c>
      <c r="F139" s="232" t="str">
        <f>'Checklist 2026'!F92</f>
        <v>Sim</v>
      </c>
      <c r="G139" s="233" t="str">
        <f>IF(queData[[#This Row],[Responder]]="Sim","Yes",IF(queData[[#This Row],[Responder]]="N/A","Yes","No"))</f>
        <v>Yes</v>
      </c>
      <c r="H139" s="246" t="str">
        <f>IF(G$132="YES", "Intermediate","Not Applicable")</f>
        <v>Not Applicable</v>
      </c>
      <c r="I139" s="231" t="s">
        <v>828</v>
      </c>
      <c r="J139" s="162" t="s">
        <v>982</v>
      </c>
      <c r="K139" s="150">
        <f t="shared" si="5"/>
        <v>1</v>
      </c>
      <c r="L139" s="234" t="str">
        <f t="shared" si="13"/>
        <v>REGEN</v>
      </c>
      <c r="M139" s="235"/>
      <c r="N139" s="237" t="s">
        <v>1567</v>
      </c>
      <c r="O139" s="237" t="s">
        <v>999</v>
      </c>
      <c r="P139" s="237" t="s">
        <v>1568</v>
      </c>
      <c r="Q139" s="237"/>
      <c r="R139" s="159"/>
      <c r="S139" s="159"/>
      <c r="T139" s="159"/>
      <c r="U139" t="b">
        <f>VLOOKUP(queData[[#This Row],[Code]],RegenAg!$B$52:$C$76,2,0)=1</f>
        <v>0</v>
      </c>
      <c r="W139">
        <v>1</v>
      </c>
      <c r="Y139">
        <f>IF(AND(References!$B$11,References!$B$12),1,IF(References!$B$11,IF(J139="CSDDD",0,1),IF(References!$B$12,IF(J139="REGEN",0,1),IF(J139="FSA",1,0))))</f>
        <v>1</v>
      </c>
    </row>
    <row r="140" spans="1:25" ht="75" hidden="1">
      <c r="B140" s="123"/>
      <c r="D140" s="231" t="s">
        <v>1377</v>
      </c>
      <c r="E140" s="232" t="s">
        <v>843</v>
      </c>
      <c r="F140" s="232" t="str">
        <f>'Checklist 2026'!F92</f>
        <v>Sim</v>
      </c>
      <c r="G140" s="233" t="str">
        <f>IF(queData[[#This Row],[Responder]]="Sim","Yes",IF(queData[[#This Row],[Responder]]="N/A","Yes","No"))</f>
        <v>Yes</v>
      </c>
      <c r="H140" s="246" t="str">
        <f>IF(G$132="YES", "Intermediate","Not Applicable")</f>
        <v>Not Applicable</v>
      </c>
      <c r="I140" s="231" t="s">
        <v>828</v>
      </c>
      <c r="J140" s="162" t="s">
        <v>982</v>
      </c>
      <c r="K140" s="150">
        <f t="shared" si="5"/>
        <v>1</v>
      </c>
      <c r="L140" s="234" t="str">
        <f t="shared" si="13"/>
        <v>REGEN</v>
      </c>
      <c r="M140" s="235"/>
      <c r="N140" s="237" t="s">
        <v>1569</v>
      </c>
      <c r="O140" s="237"/>
      <c r="P140" s="237" t="s">
        <v>1570</v>
      </c>
      <c r="Q140" s="237"/>
      <c r="R140" s="159"/>
      <c r="S140" s="159"/>
      <c r="T140" s="159"/>
      <c r="U140" t="b">
        <f>VLOOKUP(queData[[#This Row],[Code]],RegenAg!$B$52:$C$76,2,0)=1</f>
        <v>0</v>
      </c>
      <c r="W140">
        <v>1</v>
      </c>
      <c r="Y140">
        <f>IF(AND(References!$B$11,References!$B$12),1,IF(References!$B$11,IF(J140="CSDDD",0,1),IF(References!$B$12,IF(J140="REGEN",0,1),IF(J140="FSA",1,0))))</f>
        <v>1</v>
      </c>
    </row>
    <row r="141" spans="1:25" ht="237.5" hidden="1">
      <c r="B141" s="123"/>
      <c r="D141" s="231" t="s">
        <v>1378</v>
      </c>
      <c r="E141" s="232" t="s">
        <v>844</v>
      </c>
      <c r="F141" s="232" t="str">
        <f>'Checklist 2026'!F92</f>
        <v>Sim</v>
      </c>
      <c r="G141" s="233" t="str">
        <f>IF(queData[[#This Row],[Responder]]="Sim","Yes",IF(queData[[#This Row],[Responder]]="N/A","Yes","No"))</f>
        <v>Yes</v>
      </c>
      <c r="H141" s="246" t="str">
        <f>IF(G$132="YES", "Intermediate","Not Applicable")</f>
        <v>Not Applicable</v>
      </c>
      <c r="I141" s="231" t="s">
        <v>828</v>
      </c>
      <c r="J141" s="162" t="s">
        <v>982</v>
      </c>
      <c r="K141" s="150">
        <f t="shared" si="5"/>
        <v>1</v>
      </c>
      <c r="L141" s="234" t="str">
        <f t="shared" si="13"/>
        <v>REGEN</v>
      </c>
      <c r="M141" s="235"/>
      <c r="N141" s="237" t="s">
        <v>1571</v>
      </c>
      <c r="O141" s="237" t="s">
        <v>996</v>
      </c>
      <c r="P141" s="237" t="s">
        <v>1572</v>
      </c>
      <c r="Q141" s="237"/>
      <c r="R141" s="159"/>
      <c r="S141" s="159"/>
      <c r="T141" s="159"/>
      <c r="U141" t="b">
        <f>VLOOKUP(queData[[#This Row],[Code]],RegenAg!$B$52:$C$76,2,0)=1</f>
        <v>0</v>
      </c>
      <c r="W141">
        <v>1</v>
      </c>
      <c r="Y141">
        <f>IF(AND(References!$B$11,References!$B$12),1,IF(References!$B$11,IF(J141="CSDDD",0,1),IF(References!$B$12,IF(J141="REGEN",0,1),IF(J141="FSA",1,0))))</f>
        <v>1</v>
      </c>
    </row>
    <row r="142" spans="1:25" ht="18" hidden="1">
      <c r="B142" s="123"/>
      <c r="D142" s="231"/>
      <c r="E142" s="244" t="s">
        <v>1396</v>
      </c>
      <c r="F142" s="244"/>
      <c r="G142" s="281"/>
      <c r="H142" s="245"/>
      <c r="I142" s="231"/>
      <c r="J142" s="162" t="s">
        <v>982</v>
      </c>
      <c r="K142" s="150">
        <f t="shared" ref="K142:K207" si="14">Y142</f>
        <v>1</v>
      </c>
      <c r="L142" s="234" t="str">
        <f t="shared" si="13"/>
        <v/>
      </c>
      <c r="M142" s="235"/>
      <c r="N142" s="237"/>
      <c r="O142" s="237"/>
      <c r="P142" s="237"/>
      <c r="Q142" s="237"/>
      <c r="R142" s="159"/>
      <c r="S142" s="159"/>
      <c r="T142" s="159"/>
      <c r="U142" t="e">
        <f>VLOOKUP(queData[[#This Row],[Code]],RegenAg!$B$52:$C$76,2,0)=1</f>
        <v>#N/A</v>
      </c>
      <c r="Y142">
        <f>IF(AND(References!$B$11,References!$B$12),1,IF(References!$B$11,IF(J142="CSDDD",0,1),IF(References!$B$12,IF(J142="REGEN",0,1),IF(J142="FSA",1,0))))</f>
        <v>1</v>
      </c>
    </row>
    <row r="143" spans="1:25" ht="325" hidden="1">
      <c r="B143" s="123"/>
      <c r="D143" s="231" t="s">
        <v>845</v>
      </c>
      <c r="E143" s="236" t="s">
        <v>846</v>
      </c>
      <c r="F143" s="236" t="str">
        <f>'Checklist 2026'!F83</f>
        <v>Sim</v>
      </c>
      <c r="G143" s="233" t="str">
        <f>IF(queData[[#This Row],[Responder]]="Sim","Yes",IF(queData[[#This Row],[Responder]]="N/A","Yes","No"))</f>
        <v>Yes</v>
      </c>
      <c r="H143" s="246" t="s">
        <v>1293</v>
      </c>
      <c r="I143" s="231" t="s">
        <v>828</v>
      </c>
      <c r="J143" s="162" t="s">
        <v>982</v>
      </c>
      <c r="K143" s="150">
        <f t="shared" si="14"/>
        <v>1</v>
      </c>
      <c r="L143" s="234" t="str">
        <f t="shared" si="13"/>
        <v>DUE DILIGENCE</v>
      </c>
      <c r="M143" s="235"/>
      <c r="N143" s="237" t="s">
        <v>1121</v>
      </c>
      <c r="O143" s="237" t="s">
        <v>1029</v>
      </c>
      <c r="P143" s="237" t="s">
        <v>1122</v>
      </c>
      <c r="Q143" s="237" t="s">
        <v>1123</v>
      </c>
      <c r="R143" s="159"/>
      <c r="S143" s="159"/>
      <c r="T143" s="159"/>
      <c r="U143" t="e">
        <f>VLOOKUP(queData[[#This Row],[Code]],RegenAg!$B$52:$C$76,2,0)=1</f>
        <v>#N/A</v>
      </c>
      <c r="X143">
        <v>1</v>
      </c>
      <c r="Y143">
        <f>IF(AND(References!$B$11,References!$B$12),1,IF(References!$B$11,IF(J143="CSDDD",0,1),IF(References!$B$12,IF(J143="REGEN",0,1),IF(J143="FSA",1,0))))</f>
        <v>1</v>
      </c>
    </row>
    <row r="144" spans="1:25" ht="162.5" hidden="1">
      <c r="B144" s="123"/>
      <c r="D144" s="231" t="s">
        <v>847</v>
      </c>
      <c r="E144" s="236" t="s">
        <v>848</v>
      </c>
      <c r="F144" s="236" t="str">
        <f>'Checklist 2026'!F83</f>
        <v>Sim</v>
      </c>
      <c r="G144" s="233" t="str">
        <f>IF(queData[[#This Row],[Responder]]="Sim","Yes",IF(queData[[#This Row],[Responder]]="N/A","Yes","No"))</f>
        <v>Yes</v>
      </c>
      <c r="H144" s="267" t="s">
        <v>1294</v>
      </c>
      <c r="I144" s="231" t="s">
        <v>828</v>
      </c>
      <c r="J144" s="162" t="s">
        <v>982</v>
      </c>
      <c r="K144" s="150">
        <f t="shared" si="14"/>
        <v>1</v>
      </c>
      <c r="L144" s="234" t="str">
        <f t="shared" si="13"/>
        <v/>
      </c>
      <c r="M144" s="235"/>
      <c r="N144" s="237" t="s">
        <v>1124</v>
      </c>
      <c r="O144" s="237"/>
      <c r="P144" s="237" t="s">
        <v>1125</v>
      </c>
      <c r="Q144" s="237"/>
      <c r="R144" s="159"/>
      <c r="S144" s="159"/>
      <c r="T144" s="159"/>
      <c r="U144" t="e">
        <f>VLOOKUP(queData[[#This Row],[Code]],RegenAg!$B$52:$C$76,2,0)=1</f>
        <v>#N/A</v>
      </c>
      <c r="Y144">
        <f>IF(AND(References!$B$11,References!$B$12),1,IF(References!$B$11,IF(J144="CSDDD",0,1),IF(References!$B$12,IF(J144="REGEN",0,1),IF(J144="FSA",1,0))))</f>
        <v>1</v>
      </c>
    </row>
    <row r="145" spans="2:25" ht="18" hidden="1">
      <c r="B145" s="123"/>
      <c r="D145" s="231"/>
      <c r="E145" s="244" t="s">
        <v>1397</v>
      </c>
      <c r="F145" s="244"/>
      <c r="G145" s="281"/>
      <c r="H145" s="245"/>
      <c r="I145" s="231"/>
      <c r="J145" s="162" t="s">
        <v>982</v>
      </c>
      <c r="K145" s="150">
        <f t="shared" si="14"/>
        <v>1</v>
      </c>
      <c r="L145" s="234" t="str">
        <f t="shared" si="13"/>
        <v/>
      </c>
      <c r="M145" s="235"/>
      <c r="N145" s="237"/>
      <c r="O145" s="237"/>
      <c r="P145" s="237"/>
      <c r="Q145" s="237"/>
      <c r="R145" s="159"/>
      <c r="S145" s="159"/>
      <c r="T145" s="159"/>
      <c r="U145" t="e">
        <f>VLOOKUP(queData[[#This Row],[Code]],RegenAg!$B$52:$C$76,2,0)=1</f>
        <v>#N/A</v>
      </c>
      <c r="Y145">
        <f>IF(AND(References!$B$11,References!$B$12),1,IF(References!$B$11,IF(J145="CSDDD",0,1),IF(References!$B$12,IF(J145="REGEN",0,1),IF(J145="FSA",1,0))))</f>
        <v>1</v>
      </c>
    </row>
    <row r="146" spans="2:25" ht="187.5" hidden="1">
      <c r="B146" s="123"/>
      <c r="D146" s="231" t="s">
        <v>849</v>
      </c>
      <c r="E146" s="236" t="s">
        <v>850</v>
      </c>
      <c r="F146" s="236" t="str">
        <f>'Checklist 2026'!F46</f>
        <v>Sim</v>
      </c>
      <c r="G146" s="233" t="str">
        <f>IF(queData[[#This Row],[Responder]]="Sim","Yes",IF(queData[[#This Row],[Responder]]="N/A","Yes","No"))</f>
        <v>Yes</v>
      </c>
      <c r="H146" s="265" t="s">
        <v>663</v>
      </c>
      <c r="I146" s="231" t="s">
        <v>828</v>
      </c>
      <c r="J146" s="162" t="s">
        <v>982</v>
      </c>
      <c r="K146" s="150">
        <f t="shared" si="14"/>
        <v>1</v>
      </c>
      <c r="L146" s="234" t="str">
        <f t="shared" si="13"/>
        <v/>
      </c>
      <c r="M146" s="235"/>
      <c r="N146" s="237" t="s">
        <v>1126</v>
      </c>
      <c r="O146" s="237" t="s">
        <v>1127</v>
      </c>
      <c r="P146" s="237" t="s">
        <v>1128</v>
      </c>
      <c r="Q146" s="237"/>
      <c r="R146" s="159"/>
      <c r="S146" s="159"/>
      <c r="T146" s="159"/>
      <c r="U146" t="e">
        <f>VLOOKUP(queData[[#This Row],[Code]],RegenAg!$B$52:$C$76,2,0)=1</f>
        <v>#N/A</v>
      </c>
      <c r="Y146">
        <f>IF(AND(References!$B$11,References!$B$12),1,IF(References!$B$11,IF(J146="CSDDD",0,1),IF(References!$B$12,IF(J146="REGEN",0,1),IF(J146="FSA",1,0))))</f>
        <v>1</v>
      </c>
    </row>
    <row r="147" spans="2:25" ht="18" hidden="1">
      <c r="B147" s="123"/>
      <c r="D147" s="241"/>
      <c r="E147" s="242" t="s">
        <v>1398</v>
      </c>
      <c r="F147" s="242"/>
      <c r="G147" s="282"/>
      <c r="H147" s="269"/>
      <c r="I147" s="241"/>
      <c r="J147" s="164" t="s">
        <v>982</v>
      </c>
      <c r="K147" s="150">
        <f t="shared" si="14"/>
        <v>1</v>
      </c>
      <c r="L147" s="241"/>
      <c r="M147" s="235"/>
      <c r="N147" s="241"/>
      <c r="O147" s="241"/>
      <c r="P147" s="241"/>
      <c r="Q147" s="241"/>
      <c r="R147" s="159"/>
      <c r="S147" s="159"/>
      <c r="T147" s="159"/>
      <c r="U147" t="e">
        <f>VLOOKUP(queData[[#This Row],[Code]],RegenAg!$B$52:$C$76,2,0)=1</f>
        <v>#N/A</v>
      </c>
      <c r="Y147">
        <f>IF(AND(References!$B$11,References!$B$12),1,IF(References!$B$11,IF(J147="CSDDD",0,1),IF(References!$B$12,IF(J147="REGEN",0,1),IF(J147="FSA",1,0))))</f>
        <v>1</v>
      </c>
    </row>
    <row r="148" spans="2:25" ht="125" hidden="1">
      <c r="B148" s="123"/>
      <c r="D148" s="231" t="s">
        <v>851</v>
      </c>
      <c r="E148" s="236" t="s">
        <v>852</v>
      </c>
      <c r="F148" s="236" t="str">
        <f>'Checklist 2026'!F57</f>
        <v>Sim</v>
      </c>
      <c r="G148" s="233" t="str">
        <f>IF(queData[[#This Row],[Responder]]="Sim","Yes",IF(queData[[#This Row],[Responder]]="N/A","Yes","No"))</f>
        <v>Yes</v>
      </c>
      <c r="H148" s="265" t="s">
        <v>663</v>
      </c>
      <c r="I148" s="231" t="s">
        <v>1</v>
      </c>
      <c r="J148" s="162" t="s">
        <v>982</v>
      </c>
      <c r="K148" s="150">
        <f t="shared" si="14"/>
        <v>1</v>
      </c>
      <c r="L148" s="234" t="str">
        <f t="shared" ref="L148:L167" si="15">IF(AND(W148=1,X148=1),"REGEN &amp; DUE DILIGENCE",IF(AND(W148=1,ISBLANK(X148)),"REGEN",IF(AND(ISBLANK(W148),X148=1),"DUE DILIGENCE","")))</f>
        <v>DUE DILIGENCE</v>
      </c>
      <c r="M148" s="235"/>
      <c r="N148" s="237" t="s">
        <v>1129</v>
      </c>
      <c r="O148" s="237" t="s">
        <v>999</v>
      </c>
      <c r="P148" s="237" t="s">
        <v>1130</v>
      </c>
      <c r="Q148" s="237"/>
      <c r="R148" s="159"/>
      <c r="S148" s="159"/>
      <c r="T148" s="159"/>
      <c r="U148" t="e">
        <f>VLOOKUP(queData[[#This Row],[Code]],RegenAg!$B$52:$C$76,2,0)=1</f>
        <v>#N/A</v>
      </c>
      <c r="X148">
        <v>1</v>
      </c>
      <c r="Y148">
        <f>IF(AND(References!$B$11,References!$B$12),1,IF(References!$B$11,IF(J148="CSDDD",0,1),IF(References!$B$12,IF(J148="REGEN",0,1),IF(J148="FSA",1,0))))</f>
        <v>1</v>
      </c>
    </row>
    <row r="149" spans="2:25" ht="200" hidden="1">
      <c r="B149" s="123"/>
      <c r="D149" s="231" t="s">
        <v>853</v>
      </c>
      <c r="E149" s="236" t="s">
        <v>854</v>
      </c>
      <c r="F149" s="236" t="str">
        <f>'Checklist 2026'!F57</f>
        <v>Sim</v>
      </c>
      <c r="G149" s="233" t="str">
        <f>IF(queData[[#This Row],[Responder]]="Sim","Yes",IF(queData[[#This Row],[Responder]]="N/A","Yes","No"))</f>
        <v>Yes</v>
      </c>
      <c r="H149" s="246" t="s">
        <v>1293</v>
      </c>
      <c r="I149" s="231" t="s">
        <v>1</v>
      </c>
      <c r="J149" s="162" t="s">
        <v>982</v>
      </c>
      <c r="K149" s="150">
        <f t="shared" si="14"/>
        <v>1</v>
      </c>
      <c r="L149" s="234" t="str">
        <f t="shared" si="15"/>
        <v/>
      </c>
      <c r="M149" s="235"/>
      <c r="N149" s="237" t="s">
        <v>1131</v>
      </c>
      <c r="O149" s="237"/>
      <c r="P149" s="237" t="s">
        <v>1132</v>
      </c>
      <c r="Q149" s="237"/>
      <c r="R149" s="159"/>
      <c r="S149" s="159"/>
      <c r="T149" s="159"/>
      <c r="U149" t="e">
        <f>VLOOKUP(queData[[#This Row],[Code]],RegenAg!$B$52:$C$76,2,0)=1</f>
        <v>#N/A</v>
      </c>
      <c r="Y149">
        <f>IF(AND(References!$B$11,References!$B$12),1,IF(References!$B$11,IF(J149="CSDDD",0,1),IF(References!$B$12,IF(J149="REGEN",0,1),IF(J149="FSA",1,0))))</f>
        <v>1</v>
      </c>
    </row>
    <row r="150" spans="2:25" ht="200" hidden="1">
      <c r="B150" s="123"/>
      <c r="D150" s="231" t="s">
        <v>855</v>
      </c>
      <c r="E150" s="236" t="s">
        <v>856</v>
      </c>
      <c r="F150" s="236" t="str">
        <f>'Checklist 2026'!F105</f>
        <v>Sim</v>
      </c>
      <c r="G150" s="233" t="str">
        <f>IF(queData[[#This Row],[Responder]]="Sim","Yes",IF(queData[[#This Row],[Responder]]="N/A","Yes","No"))</f>
        <v>Yes</v>
      </c>
      <c r="H150" s="246" t="s">
        <v>1293</v>
      </c>
      <c r="I150" s="231" t="s">
        <v>1</v>
      </c>
      <c r="J150" s="162" t="s">
        <v>982</v>
      </c>
      <c r="K150" s="150">
        <f t="shared" si="14"/>
        <v>1</v>
      </c>
      <c r="L150" s="234" t="str">
        <f t="shared" si="15"/>
        <v>REGEN</v>
      </c>
      <c r="M150" s="235"/>
      <c r="N150" s="237" t="s">
        <v>1133</v>
      </c>
      <c r="O150" s="237" t="s">
        <v>999</v>
      </c>
      <c r="P150" s="237" t="s">
        <v>1134</v>
      </c>
      <c r="Q150" s="237"/>
      <c r="R150" s="159"/>
      <c r="S150" s="159"/>
      <c r="T150" s="159"/>
      <c r="U150" t="b">
        <f>VLOOKUP(queData[[#This Row],[Code]],RegenAg!$B$52:$C$76,2,0)=1</f>
        <v>0</v>
      </c>
      <c r="W150">
        <v>1</v>
      </c>
      <c r="Y150">
        <f>IF(AND(References!$B$11,References!$B$12),1,IF(References!$B$11,IF(J150="CSDDD",0,1),IF(References!$B$12,IF(J150="REGEN",0,1),IF(J150="FSA",1,0))))</f>
        <v>1</v>
      </c>
    </row>
    <row r="151" spans="2:25" ht="25" hidden="1">
      <c r="B151" s="123"/>
      <c r="D151" s="231" t="s">
        <v>765</v>
      </c>
      <c r="E151" s="236" t="s">
        <v>858</v>
      </c>
      <c r="F151" s="301" t="e">
        <f>'Checklist 2026'!#REF!</f>
        <v>#REF!</v>
      </c>
      <c r="G151" s="233" t="e">
        <f>queData[[#This Row],[Responder]]</f>
        <v>#REF!</v>
      </c>
      <c r="H151" s="266"/>
      <c r="I151" s="231"/>
      <c r="J151" s="162" t="s">
        <v>983</v>
      </c>
      <c r="K151" s="150">
        <f t="shared" si="14"/>
        <v>1</v>
      </c>
      <c r="L151" s="234" t="str">
        <f t="shared" si="15"/>
        <v/>
      </c>
      <c r="M151" s="235"/>
      <c r="N151" s="237"/>
      <c r="O151" s="237"/>
      <c r="P151" s="237"/>
      <c r="Q151" s="237"/>
      <c r="R151" s="159"/>
      <c r="S151" s="159"/>
      <c r="T151" s="159"/>
      <c r="U151" t="e">
        <f>VLOOKUP(queData[[#This Row],[Code]],RegenAg!$B$52:$C$76,2,0)=1</f>
        <v>#N/A</v>
      </c>
      <c r="Y151">
        <f>IF(AND(References!$B$11,References!$B$12),1,IF(References!$B$11,IF(J151="CSDDD",0,1),IF(References!$B$12,IF(J151="REGEN",0,1),IF(J151="FSA",1,0))))</f>
        <v>1</v>
      </c>
    </row>
    <row r="152" spans="2:25" ht="18" hidden="1">
      <c r="B152" s="123"/>
      <c r="D152" s="231" t="s">
        <v>857</v>
      </c>
      <c r="E152" s="236" t="s">
        <v>1493</v>
      </c>
      <c r="F152" s="236" t="str">
        <f>'Checklist 2026'!F54</f>
        <v>Sim</v>
      </c>
      <c r="G152" s="233" t="str">
        <f>IF(queData[[#This Row],[Responder]]="Sim","Yes",IF(queData[[#This Row],[Responder]]="N/A","Yes","No"))</f>
        <v>Yes</v>
      </c>
      <c r="H152" s="266"/>
      <c r="I152" s="231"/>
      <c r="J152" s="162" t="s">
        <v>983</v>
      </c>
      <c r="K152" s="150">
        <f>Y152</f>
        <v>1</v>
      </c>
      <c r="L152" s="234" t="str">
        <f t="shared" si="15"/>
        <v>REGEN</v>
      </c>
      <c r="M152" s="235"/>
      <c r="N152" s="237"/>
      <c r="O152" s="237"/>
      <c r="P152" s="237"/>
      <c r="Q152" s="237"/>
      <c r="R152" s="159"/>
      <c r="S152" s="159"/>
      <c r="T152" s="159"/>
      <c r="U152" t="b">
        <f>VLOOKUP(queData[[#This Row],[Code]],RegenAg!$B$52:$C$76,2,0)=1</f>
        <v>0</v>
      </c>
      <c r="W152">
        <v>1</v>
      </c>
      <c r="Y152">
        <f>IF(AND(References!$B$11,References!$B$12),1,IF(References!$B$11,IF(J152="CSDDD",0,1),IF(References!$B$12,IF(J152="REGEN",0,1),IF(J152="FSA",1,0))))</f>
        <v>1</v>
      </c>
    </row>
    <row r="153" spans="2:25" ht="25" hidden="1">
      <c r="B153" s="123"/>
      <c r="D153" s="231" t="s">
        <v>859</v>
      </c>
      <c r="E153" s="308" t="s">
        <v>864</v>
      </c>
      <c r="F153" s="308" t="str">
        <f>IF(F152="Sim","1","")</f>
        <v>1</v>
      </c>
      <c r="G153" s="310" t="str">
        <f>IF(F152="Sim","1","")</f>
        <v>1</v>
      </c>
      <c r="H153" s="266"/>
      <c r="I153" s="231"/>
      <c r="J153" s="162" t="s">
        <v>983</v>
      </c>
      <c r="K153" s="150">
        <f>Y153</f>
        <v>1</v>
      </c>
      <c r="L153" s="234" t="str">
        <f t="shared" si="15"/>
        <v/>
      </c>
      <c r="M153" s="235"/>
      <c r="N153" s="237"/>
      <c r="O153" s="237"/>
      <c r="P153" s="237"/>
      <c r="Q153" s="237"/>
      <c r="R153" s="159"/>
      <c r="S153" s="159"/>
      <c r="T153" s="159"/>
      <c r="U153" t="e">
        <f>VLOOKUP(queData[[#This Row],[Code]],RegenAg!$B$52:$C$76,2,0)=1</f>
        <v>#N/A</v>
      </c>
      <c r="Y153">
        <f>IF(AND(References!$B$11,References!$B$12),1,IF(References!$B$11,IF(J153="CSDDD",0,1),IF(References!$B$12,IF(J153="REGEN",0,1),IF(J153="FSA",1,0))))</f>
        <v>1</v>
      </c>
    </row>
    <row r="154" spans="2:25" ht="18" hidden="1">
      <c r="B154" s="123"/>
      <c r="D154" s="231" t="s">
        <v>863</v>
      </c>
      <c r="E154" s="236" t="s">
        <v>1494</v>
      </c>
      <c r="F154" s="236" t="str">
        <f>'Checklist 2026'!F105</f>
        <v>Sim</v>
      </c>
      <c r="G154" s="233" t="str">
        <f>IF(queData[[#This Row],[Responder]]="Sim","Yes",IF(queData[[#This Row],[Responder]]="N/A","Yes","No"))</f>
        <v>Yes</v>
      </c>
      <c r="H154" s="266"/>
      <c r="I154" s="231"/>
      <c r="J154" s="162" t="s">
        <v>983</v>
      </c>
      <c r="K154" s="150">
        <f t="shared" ref="K154" si="16">Y154</f>
        <v>1</v>
      </c>
      <c r="L154" s="234" t="str">
        <f t="shared" si="15"/>
        <v>REGEN</v>
      </c>
      <c r="M154" s="235"/>
      <c r="N154" s="237"/>
      <c r="O154" s="237"/>
      <c r="P154" s="237"/>
      <c r="Q154" s="237"/>
      <c r="R154" s="159"/>
      <c r="S154" s="159"/>
      <c r="T154" s="159"/>
      <c r="U154" t="b">
        <f>VLOOKUP(queData[[#This Row],[Code]],RegenAg!$B$52:$C$76,2,0)=1</f>
        <v>0</v>
      </c>
      <c r="W154">
        <v>1</v>
      </c>
      <c r="Y154">
        <f>IF(AND(References!$B$11,References!$B$12),1,IF(References!$B$11,IF(J154="CSDDD",0,1),IF(References!$B$12,IF(J154="REGEN",0,1),IF(J154="FSA",1,0))))</f>
        <v>1</v>
      </c>
    </row>
    <row r="155" spans="2:25" ht="18" hidden="1">
      <c r="B155" s="123"/>
      <c r="D155" s="231" t="s">
        <v>865</v>
      </c>
      <c r="E155" s="308" t="s">
        <v>860</v>
      </c>
      <c r="F155" s="308" t="str">
        <f>IF(F154="Sim","1","")</f>
        <v>1</v>
      </c>
      <c r="G155" s="310" t="str">
        <f>IF(F154="Sim","1","")</f>
        <v>1</v>
      </c>
      <c r="H155" s="266"/>
      <c r="I155" s="231"/>
      <c r="J155" s="162" t="s">
        <v>983</v>
      </c>
      <c r="K155" s="150">
        <f t="shared" si="14"/>
        <v>1</v>
      </c>
      <c r="L155" s="234" t="str">
        <f t="shared" si="15"/>
        <v/>
      </c>
      <c r="M155" s="235"/>
      <c r="N155" s="237"/>
      <c r="O155" s="237"/>
      <c r="P155" s="237"/>
      <c r="Q155" s="237"/>
      <c r="R155" s="159"/>
      <c r="S155" s="159"/>
      <c r="T155" s="159"/>
      <c r="U155" t="e">
        <f>VLOOKUP(queData[[#This Row],[Code]],RegenAg!$B$52:$C$76,2,0)=1</f>
        <v>#N/A</v>
      </c>
      <c r="Y155">
        <f>IF(AND(References!$B$11,References!$B$12),1,IF(References!$B$11,IF(J155="CSDDD",0,1),IF(References!$B$12,IF(J155="REGEN",0,1),IF(J155="FSA",1,0))))</f>
        <v>1</v>
      </c>
    </row>
    <row r="156" spans="2:25" ht="125" hidden="1">
      <c r="B156" s="123"/>
      <c r="D156" s="231" t="s">
        <v>861</v>
      </c>
      <c r="E156" s="236" t="s">
        <v>862</v>
      </c>
      <c r="F156" s="308" t="str">
        <f>'Checklist 2026'!F105</f>
        <v>Sim</v>
      </c>
      <c r="G156" s="311" t="str">
        <f>IF(queData[[#This Row],[Responder]]="Sim","Yes",IF(queData[[#This Row],[Responder]]="N/A","Yes","No"))</f>
        <v>Yes</v>
      </c>
      <c r="H156" s="267" t="s">
        <v>1294</v>
      </c>
      <c r="I156" s="231" t="s">
        <v>1</v>
      </c>
      <c r="J156" s="162" t="s">
        <v>982</v>
      </c>
      <c r="K156" s="150">
        <f t="shared" si="14"/>
        <v>1</v>
      </c>
      <c r="L156" s="234" t="str">
        <f t="shared" si="15"/>
        <v/>
      </c>
      <c r="M156" s="235"/>
      <c r="N156" s="237" t="s">
        <v>1135</v>
      </c>
      <c r="O156" s="237"/>
      <c r="P156" s="237" t="s">
        <v>1136</v>
      </c>
      <c r="Q156" s="237"/>
      <c r="R156" s="159"/>
      <c r="S156" s="159"/>
      <c r="T156" s="159"/>
      <c r="U156" t="e">
        <f>VLOOKUP(queData[[#This Row],[Code]],RegenAg!$B$52:$C$76,2,0)=1</f>
        <v>#N/A</v>
      </c>
      <c r="Y156">
        <f>IF(AND(References!$B$11,References!$B$12),1,IF(References!$B$11,IF(J156="CSDDD",0,1),IF(References!$B$12,IF(J156="REGEN",0,1),IF(J156="FSA",1,0))))</f>
        <v>1</v>
      </c>
    </row>
    <row r="157" spans="2:25" ht="162.5">
      <c r="B157" s="123"/>
      <c r="D157" s="231" t="s">
        <v>867</v>
      </c>
      <c r="E157" s="308" t="s">
        <v>866</v>
      </c>
      <c r="F157" s="308" t="s">
        <v>1613</v>
      </c>
      <c r="G157" s="310" t="str">
        <f>IF(queData[[#This Row],[Responder]]="Sim","Yes",IF(queData[[#This Row],[Responder]]="N/A","Yes","No"))</f>
        <v>No</v>
      </c>
      <c r="H157" s="266"/>
      <c r="I157" s="231" t="s">
        <v>1</v>
      </c>
      <c r="J157" s="162" t="s">
        <v>983</v>
      </c>
      <c r="K157" s="150">
        <f t="shared" si="14"/>
        <v>1</v>
      </c>
      <c r="L157" s="234" t="str">
        <f t="shared" si="15"/>
        <v>REGEN</v>
      </c>
      <c r="M157" s="235"/>
      <c r="N157" s="237"/>
      <c r="O157" s="237"/>
      <c r="P157" s="237" t="s">
        <v>1137</v>
      </c>
      <c r="Q157" s="237"/>
      <c r="R157" s="159"/>
      <c r="S157" s="159"/>
      <c r="T157" s="159"/>
      <c r="U157" t="b">
        <f>VLOOKUP(queData[[#This Row],[Code]],RegenAg!$B$52:$C$76,2,0)=1</f>
        <v>0</v>
      </c>
      <c r="W157">
        <v>1</v>
      </c>
      <c r="Y157">
        <f>IF(AND(References!$B$11,References!$B$12),1,IF(References!$B$11,IF(J157="CSDDD",0,1),IF(References!$B$12,IF(J157="REGEN",0,1),IF(J157="FSA",1,0))))</f>
        <v>1</v>
      </c>
    </row>
    <row r="158" spans="2:25" ht="25" hidden="1">
      <c r="B158" s="123"/>
      <c r="D158" s="231" t="s">
        <v>970</v>
      </c>
      <c r="E158" s="308" t="s">
        <v>868</v>
      </c>
      <c r="F158" s="308">
        <v>0</v>
      </c>
      <c r="G158" s="312">
        <f>queData[[#This Row],[Responder]]</f>
        <v>0</v>
      </c>
      <c r="H158" s="266"/>
      <c r="I158" s="231"/>
      <c r="J158" s="162" t="s">
        <v>983</v>
      </c>
      <c r="K158" s="150">
        <f t="shared" si="14"/>
        <v>1</v>
      </c>
      <c r="L158" s="234" t="str">
        <f t="shared" si="15"/>
        <v/>
      </c>
      <c r="M158" s="235"/>
      <c r="N158" s="237"/>
      <c r="O158" s="237"/>
      <c r="P158" s="237"/>
      <c r="Q158" s="237"/>
      <c r="R158" s="159"/>
      <c r="S158" s="159"/>
      <c r="T158" s="159"/>
      <c r="U158" t="e">
        <f>VLOOKUP(queData[[#This Row],[Code]],RegenAg!$B$52:$C$76,2,0)=1</f>
        <v>#N/A</v>
      </c>
      <c r="Y158">
        <f>IF(AND(References!$B$11,References!$B$12),1,IF(References!$B$11,IF(J158="CSDDD",0,1),IF(References!$B$12,IF(J158="REGEN",0,1),IF(J158="FSA",1,0))))</f>
        <v>1</v>
      </c>
    </row>
    <row r="159" spans="2:25" ht="137.5" hidden="1">
      <c r="B159" s="123"/>
      <c r="D159" s="231" t="s">
        <v>869</v>
      </c>
      <c r="E159" s="308" t="s">
        <v>870</v>
      </c>
      <c r="F159" s="308" t="str">
        <f>'Checklist 2026'!F86</f>
        <v>Sim</v>
      </c>
      <c r="G159" s="310" t="str">
        <f>IF(queData[[#This Row],[Responder]]="Sim","Yes",IF(queData[[#This Row],[Responder]]="N/A","Yes","No"))</f>
        <v>Yes</v>
      </c>
      <c r="H159" s="267" t="s">
        <v>1294</v>
      </c>
      <c r="I159" s="231" t="s">
        <v>1</v>
      </c>
      <c r="J159" s="162" t="s">
        <v>982</v>
      </c>
      <c r="K159" s="150">
        <f t="shared" si="14"/>
        <v>1</v>
      </c>
      <c r="L159" s="234" t="str">
        <f t="shared" si="15"/>
        <v>DUE DILIGENCE</v>
      </c>
      <c r="M159" s="235"/>
      <c r="N159" s="237" t="s">
        <v>1138</v>
      </c>
      <c r="O159" s="237" t="s">
        <v>999</v>
      </c>
      <c r="P159" s="237" t="s">
        <v>1139</v>
      </c>
      <c r="Q159" s="237"/>
      <c r="R159" s="159"/>
      <c r="S159" s="159"/>
      <c r="T159" s="159"/>
      <c r="U159" t="e">
        <f>VLOOKUP(queData[[#This Row],[Code]],RegenAg!$B$52:$C$76,2,0)=1</f>
        <v>#N/A</v>
      </c>
      <c r="X159">
        <v>1</v>
      </c>
      <c r="Y159">
        <f>IF(AND(References!$B$11,References!$B$12),1,IF(References!$B$11,IF(J159="CSDDD",0,1),IF(References!$B$12,IF(J159="REGEN",0,1),IF(J159="FSA",1,0))))</f>
        <v>1</v>
      </c>
    </row>
    <row r="160" spans="2:25" ht="50" hidden="1">
      <c r="B160" s="123"/>
      <c r="D160" s="231" t="s">
        <v>871</v>
      </c>
      <c r="E160" s="236" t="s">
        <v>872</v>
      </c>
      <c r="F160" s="305"/>
      <c r="G160" s="306"/>
      <c r="H160" s="266"/>
      <c r="I160" s="231" t="s">
        <v>1</v>
      </c>
      <c r="J160" s="162" t="s">
        <v>982</v>
      </c>
      <c r="K160" s="150">
        <f t="shared" si="14"/>
        <v>1</v>
      </c>
      <c r="L160" s="234" t="str">
        <f t="shared" si="15"/>
        <v/>
      </c>
      <c r="M160" s="235"/>
      <c r="N160" s="237" t="s">
        <v>1140</v>
      </c>
      <c r="O160" s="237"/>
      <c r="P160" s="237" t="s">
        <v>1141</v>
      </c>
      <c r="Q160" s="237"/>
      <c r="R160" s="159"/>
      <c r="S160" s="159"/>
      <c r="T160" s="159"/>
      <c r="U160" t="e">
        <f>VLOOKUP(queData[[#This Row],[Code]],RegenAg!$B$52:$C$76,2,0)=1</f>
        <v>#N/A</v>
      </c>
      <c r="Y160">
        <f>IF(AND(References!$B$11,References!$B$12),1,IF(References!$B$11,IF(J160="CSDDD",0,1),IF(References!$B$12,IF(J160="REGEN",0,1),IF(J160="FSA",1,0))))</f>
        <v>1</v>
      </c>
    </row>
    <row r="161" spans="2:25" ht="62.5" hidden="1">
      <c r="B161" s="123"/>
      <c r="D161" s="231" t="s">
        <v>1379</v>
      </c>
      <c r="E161" s="236" t="s">
        <v>873</v>
      </c>
      <c r="F161" s="236" t="str">
        <f>'Checklist 2026'!F86</f>
        <v>Sim</v>
      </c>
      <c r="G161" s="233" t="str">
        <f>IF(queData[[#This Row],[Responder]]="Sim","Yes",IF(queData[[#This Row],[Responder]]="N/A","Yes","No"))</f>
        <v>Yes</v>
      </c>
      <c r="H161" s="267" t="s">
        <v>1294</v>
      </c>
      <c r="I161" s="231" t="s">
        <v>1</v>
      </c>
      <c r="J161" s="162" t="s">
        <v>982</v>
      </c>
      <c r="K161" s="150">
        <f t="shared" si="14"/>
        <v>1</v>
      </c>
      <c r="L161" s="234" t="str">
        <f t="shared" si="15"/>
        <v>DUE DILIGENCE</v>
      </c>
      <c r="M161" s="235"/>
      <c r="N161" s="237" t="s">
        <v>1573</v>
      </c>
      <c r="O161" s="237" t="s">
        <v>999</v>
      </c>
      <c r="P161" s="237" t="s">
        <v>1574</v>
      </c>
      <c r="Q161" s="237"/>
      <c r="R161" s="159"/>
      <c r="S161" s="159"/>
      <c r="T161" s="159"/>
      <c r="U161" t="e">
        <f>VLOOKUP(queData[[#This Row],[Code]],RegenAg!$B$52:$C$76,2,0)=1</f>
        <v>#N/A</v>
      </c>
      <c r="X161">
        <v>1</v>
      </c>
      <c r="Y161">
        <f>IF(AND(References!$B$11,References!$B$12),1,IF(References!$B$11,IF(J161="CSDDD",0,1),IF(References!$B$12,IF(J161="REGEN",0,1),IF(J161="FSA",1,0))))</f>
        <v>1</v>
      </c>
    </row>
    <row r="162" spans="2:25" ht="37.5" hidden="1">
      <c r="B162" s="123"/>
      <c r="D162" s="231" t="s">
        <v>1380</v>
      </c>
      <c r="E162" s="236" t="s">
        <v>874</v>
      </c>
      <c r="F162" s="236" t="str">
        <f>'Checklist 2026'!F85</f>
        <v>Sim</v>
      </c>
      <c r="G162" s="233" t="str">
        <f>IF(queData[[#This Row],[Responder]]="Sim","Yes",IF(queData[[#This Row],[Responder]]="N/A","Yes","No"))</f>
        <v>Yes</v>
      </c>
      <c r="H162" s="267" t="s">
        <v>1294</v>
      </c>
      <c r="I162" s="231" t="s">
        <v>1</v>
      </c>
      <c r="J162" s="162" t="s">
        <v>982</v>
      </c>
      <c r="K162" s="150">
        <f t="shared" si="14"/>
        <v>1</v>
      </c>
      <c r="L162" s="234" t="str">
        <f t="shared" si="15"/>
        <v>DUE DILIGENCE</v>
      </c>
      <c r="M162" s="235"/>
      <c r="N162" s="237" t="s">
        <v>1575</v>
      </c>
      <c r="O162" s="237" t="s">
        <v>999</v>
      </c>
      <c r="P162" s="237" t="s">
        <v>1576</v>
      </c>
      <c r="Q162" s="237"/>
      <c r="R162" s="159"/>
      <c r="S162" s="159"/>
      <c r="T162" s="159"/>
      <c r="U162" t="e">
        <f>VLOOKUP(queData[[#This Row],[Code]],RegenAg!$B$52:$C$76,2,0)=1</f>
        <v>#N/A</v>
      </c>
      <c r="X162">
        <v>1</v>
      </c>
      <c r="Y162">
        <f>IF(AND(References!$B$11,References!$B$12),1,IF(References!$B$11,IF(J162="CSDDD",0,1),IF(References!$B$12,IF(J162="REGEN",0,1),IF(J162="FSA",1,0))))</f>
        <v>1</v>
      </c>
    </row>
    <row r="163" spans="2:25" ht="50" hidden="1">
      <c r="B163" s="123"/>
      <c r="D163" s="231" t="s">
        <v>1381</v>
      </c>
      <c r="E163" s="236" t="s">
        <v>875</v>
      </c>
      <c r="F163" s="236" t="str">
        <f>'Checklist 2026'!F86</f>
        <v>Sim</v>
      </c>
      <c r="G163" s="233" t="str">
        <f>IF(queData[[#This Row],[Responder]]="Sim","Yes",IF(queData[[#This Row],[Responder]]="N/A","Yes","No"))</f>
        <v>Yes</v>
      </c>
      <c r="H163" s="267" t="s">
        <v>1294</v>
      </c>
      <c r="I163" s="231" t="s">
        <v>1</v>
      </c>
      <c r="J163" s="162" t="s">
        <v>982</v>
      </c>
      <c r="K163" s="150">
        <f t="shared" si="14"/>
        <v>1</v>
      </c>
      <c r="L163" s="234" t="str">
        <f t="shared" si="15"/>
        <v>DUE DILIGENCE</v>
      </c>
      <c r="M163" s="235"/>
      <c r="N163" s="237" t="s">
        <v>1577</v>
      </c>
      <c r="O163" s="237" t="s">
        <v>999</v>
      </c>
      <c r="P163" s="237" t="s">
        <v>1578</v>
      </c>
      <c r="Q163" s="237"/>
      <c r="R163" s="159"/>
      <c r="S163" s="159"/>
      <c r="T163" s="159"/>
      <c r="U163" t="e">
        <f>VLOOKUP(queData[[#This Row],[Code]],RegenAg!$B$52:$C$76,2,0)=1</f>
        <v>#N/A</v>
      </c>
      <c r="X163">
        <v>1</v>
      </c>
      <c r="Y163">
        <f>IF(AND(References!$B$11,References!$B$12),1,IF(References!$B$11,IF(J163="CSDDD",0,1),IF(References!$B$12,IF(J163="REGEN",0,1),IF(J163="FSA",1,0))))</f>
        <v>1</v>
      </c>
    </row>
    <row r="164" spans="2:25" ht="137.5" hidden="1">
      <c r="B164" s="123"/>
      <c r="D164" s="231" t="s">
        <v>876</v>
      </c>
      <c r="E164" s="236" t="s">
        <v>877</v>
      </c>
      <c r="F164" s="236" t="str">
        <f>'Checklist 2026'!F69</f>
        <v>Sim</v>
      </c>
      <c r="G164" s="233" t="str">
        <f>IF(queData[[#This Row],[Responder]]="Sim","Yes",IF(queData[[#This Row],[Responder]]="N/A","Yes","No"))</f>
        <v>Yes</v>
      </c>
      <c r="H164" s="246" t="s">
        <v>1293</v>
      </c>
      <c r="I164" s="231" t="s">
        <v>1</v>
      </c>
      <c r="J164" s="162" t="s">
        <v>982</v>
      </c>
      <c r="K164" s="150">
        <f t="shared" si="14"/>
        <v>1</v>
      </c>
      <c r="L164" s="234" t="str">
        <f t="shared" si="15"/>
        <v>DUE DILIGENCE</v>
      </c>
      <c r="M164" s="235"/>
      <c r="N164" s="237" t="s">
        <v>1142</v>
      </c>
      <c r="O164" s="237" t="s">
        <v>999</v>
      </c>
      <c r="P164" s="237" t="s">
        <v>1143</v>
      </c>
      <c r="Q164" s="237"/>
      <c r="R164" s="159"/>
      <c r="S164" s="159"/>
      <c r="T164" s="159"/>
      <c r="U164" t="e">
        <f>VLOOKUP(queData[[#This Row],[Code]],RegenAg!$B$52:$C$76,2,0)=1</f>
        <v>#N/A</v>
      </c>
      <c r="X164">
        <v>1</v>
      </c>
      <c r="Y164">
        <f>IF(AND(References!$B$11,References!$B$12),1,IF(References!$B$11,IF(J164="CSDDD",0,1),IF(References!$B$12,IF(J164="REGEN",0,1),IF(J164="FSA",1,0))))</f>
        <v>1</v>
      </c>
    </row>
    <row r="165" spans="2:25" ht="75" hidden="1">
      <c r="B165" s="123"/>
      <c r="D165" s="231" t="s">
        <v>878</v>
      </c>
      <c r="E165" s="236" t="s">
        <v>879</v>
      </c>
      <c r="F165" s="236" t="str">
        <f>'Checklist 2026'!F85</f>
        <v>Sim</v>
      </c>
      <c r="G165" s="233" t="str">
        <f>IF(queData[[#This Row],[Responder]]="Sim","Yes",IF(queData[[#This Row],[Responder]]="N/A","Yes","No"))</f>
        <v>Yes</v>
      </c>
      <c r="H165" s="246" t="s">
        <v>1293</v>
      </c>
      <c r="I165" s="231" t="s">
        <v>1</v>
      </c>
      <c r="J165" s="162" t="s">
        <v>982</v>
      </c>
      <c r="K165" s="150">
        <f t="shared" si="14"/>
        <v>1</v>
      </c>
      <c r="L165" s="234" t="str">
        <f t="shared" si="15"/>
        <v>DUE DILIGENCE</v>
      </c>
      <c r="M165" s="235"/>
      <c r="N165" s="237" t="s">
        <v>1144</v>
      </c>
      <c r="O165" s="237"/>
      <c r="P165" s="237" t="s">
        <v>1145</v>
      </c>
      <c r="Q165" s="237" t="s">
        <v>1146</v>
      </c>
      <c r="R165" s="159"/>
      <c r="S165" s="159"/>
      <c r="T165" s="159"/>
      <c r="U165" t="e">
        <f>VLOOKUP(queData[[#This Row],[Code]],RegenAg!$B$52:$C$76,2,0)=1</f>
        <v>#N/A</v>
      </c>
      <c r="X165">
        <v>1</v>
      </c>
      <c r="Y165">
        <f>IF(AND(References!$B$11,References!$B$12),1,IF(References!$B$11,IF(J165="CSDDD",0,1),IF(References!$B$12,IF(J165="REGEN",0,1),IF(J165="FSA",1,0))))</f>
        <v>1</v>
      </c>
    </row>
    <row r="166" spans="2:25" ht="125" hidden="1">
      <c r="B166" s="123"/>
      <c r="D166" s="231" t="s">
        <v>880</v>
      </c>
      <c r="E166" s="236" t="s">
        <v>881</v>
      </c>
      <c r="F166" s="236" t="str">
        <f>'Checklist 2026'!F70</f>
        <v>Sim</v>
      </c>
      <c r="G166" s="233" t="str">
        <f>IF(queData[[#This Row],[Responder]]="Sim","Yes",IF(queData[[#This Row],[Responder]]="N/A","Yes","No"))</f>
        <v>Yes</v>
      </c>
      <c r="H166" s="246" t="s">
        <v>1293</v>
      </c>
      <c r="I166" s="231" t="s">
        <v>1</v>
      </c>
      <c r="J166" s="162" t="s">
        <v>982</v>
      </c>
      <c r="K166" s="150">
        <f t="shared" si="14"/>
        <v>1</v>
      </c>
      <c r="L166" s="234" t="str">
        <f t="shared" si="15"/>
        <v>DUE DILIGENCE</v>
      </c>
      <c r="M166" s="235"/>
      <c r="N166" s="237" t="s">
        <v>1147</v>
      </c>
      <c r="O166" s="237" t="s">
        <v>999</v>
      </c>
      <c r="P166" s="237" t="s">
        <v>1148</v>
      </c>
      <c r="Q166" s="237"/>
      <c r="R166" s="159"/>
      <c r="S166" s="159"/>
      <c r="T166" s="159"/>
      <c r="U166" t="e">
        <f>VLOOKUP(queData[[#This Row],[Code]],RegenAg!$B$52:$C$76,2,0)=1</f>
        <v>#N/A</v>
      </c>
      <c r="X166">
        <v>1</v>
      </c>
      <c r="Y166">
        <f>IF(AND(References!$B$11,References!$B$12),1,IF(References!$B$11,IF(J166="CSDDD",0,1),IF(References!$B$12,IF(J166="REGEN",0,1),IF(J166="FSA",1,0))))</f>
        <v>1</v>
      </c>
    </row>
    <row r="167" spans="2:25" ht="187.5" hidden="1">
      <c r="B167" s="123"/>
      <c r="D167" s="231" t="s">
        <v>1590</v>
      </c>
      <c r="E167" s="236" t="s">
        <v>882</v>
      </c>
      <c r="F167" s="236" t="e">
        <f>'Checklist 2026'!#REF!</f>
        <v>#REF!</v>
      </c>
      <c r="G167" s="233" t="e">
        <f>IF(queData[[#This Row],[Responder]]="Sim","Yes",IF(queData[[#This Row],[Responder]]="N/A","Yes","No"))</f>
        <v>#REF!</v>
      </c>
      <c r="H167" s="266"/>
      <c r="I167" s="231"/>
      <c r="J167" s="162" t="s">
        <v>0</v>
      </c>
      <c r="K167" s="150">
        <f t="shared" si="14"/>
        <v>1</v>
      </c>
      <c r="L167" s="234" t="str">
        <f t="shared" si="15"/>
        <v>DUE DILIGENCE</v>
      </c>
      <c r="M167" s="235"/>
      <c r="N167" s="237" t="s">
        <v>1149</v>
      </c>
      <c r="O167" s="237" t="s">
        <v>1150</v>
      </c>
      <c r="P167" s="237" t="s">
        <v>1151</v>
      </c>
      <c r="Q167" s="237"/>
      <c r="R167" s="159"/>
      <c r="S167" s="159"/>
      <c r="T167" s="159"/>
      <c r="U167" t="e">
        <f>VLOOKUP(queData[[#This Row],[Code]],RegenAg!$B$52:$C$76,2,0)=1</f>
        <v>#N/A</v>
      </c>
      <c r="X167">
        <v>1</v>
      </c>
      <c r="Y167">
        <f>IF(AND(References!$B$11,References!$B$12),1,IF(References!$B$11,IF(J167="CSDDD",0,1),IF(References!$B$12,IF(J167="REGEN",0,1),IF(J167="FSA",1,0))))</f>
        <v>1</v>
      </c>
    </row>
    <row r="168" spans="2:25" ht="18" hidden="1">
      <c r="B168" s="123"/>
      <c r="D168" s="241"/>
      <c r="E168" s="242" t="s">
        <v>1399</v>
      </c>
      <c r="F168" s="242"/>
      <c r="G168" s="277"/>
      <c r="H168" s="241"/>
      <c r="I168" s="241"/>
      <c r="J168" s="164" t="s">
        <v>982</v>
      </c>
      <c r="K168" s="150">
        <f t="shared" si="14"/>
        <v>1</v>
      </c>
      <c r="L168" s="241"/>
      <c r="M168" s="235"/>
      <c r="N168" s="241"/>
      <c r="O168" s="241"/>
      <c r="P168" s="241"/>
      <c r="Q168" s="241"/>
      <c r="R168" s="159"/>
      <c r="S168" s="159"/>
      <c r="T168" s="159"/>
      <c r="U168" t="e">
        <f>VLOOKUP(queData[[#This Row],[Code]],RegenAg!$B$52:$C$76,2,0)=1</f>
        <v>#N/A</v>
      </c>
      <c r="Y168">
        <f>IF(AND(References!$B$11,References!$B$12),1,IF(References!$B$11,IF(J168="CSDDD",0,1),IF(References!$B$12,IF(J168="REGEN",0,1),IF(J168="FSA",1,0))))</f>
        <v>1</v>
      </c>
    </row>
    <row r="169" spans="2:25" ht="262.5" hidden="1">
      <c r="B169" s="123"/>
      <c r="D169" s="231" t="s">
        <v>883</v>
      </c>
      <c r="E169" s="236" t="s">
        <v>884</v>
      </c>
      <c r="F169" s="236" t="str">
        <f>'Checklist 2026'!F70</f>
        <v>Sim</v>
      </c>
      <c r="G169" s="233" t="str">
        <f>IF(queData[[#This Row],[Responder]]="Sim","Yes",IF(queData[[#This Row],[Responder]]="N/A","Yes","No"))</f>
        <v>Yes</v>
      </c>
      <c r="H169" s="246" t="s">
        <v>1293</v>
      </c>
      <c r="I169" s="231" t="s">
        <v>885</v>
      </c>
      <c r="J169" s="162" t="s">
        <v>982</v>
      </c>
      <c r="K169" s="150">
        <f t="shared" si="14"/>
        <v>1</v>
      </c>
      <c r="L169" s="234" t="str">
        <f t="shared" ref="L169:L177" si="17">IF(AND(W169=1,X169=1),"REGEN &amp; DUE DILIGENCE",IF(AND(W169=1,ISBLANK(X169)),"REGEN",IF(AND(ISBLANK(W169),X169=1),"DUE DILIGENCE","")))</f>
        <v>DUE DILIGENCE</v>
      </c>
      <c r="M169" s="235"/>
      <c r="N169" s="237" t="s">
        <v>1152</v>
      </c>
      <c r="O169" s="237"/>
      <c r="P169" s="237" t="s">
        <v>1153</v>
      </c>
      <c r="Q169" s="237"/>
      <c r="R169" s="159"/>
      <c r="S169" s="159"/>
      <c r="T169" s="159"/>
      <c r="U169" t="e">
        <f>VLOOKUP(queData[[#This Row],[Code]],RegenAg!$B$52:$C$76,2,0)=1</f>
        <v>#N/A</v>
      </c>
      <c r="X169">
        <v>1</v>
      </c>
      <c r="Y169">
        <f>IF(AND(References!$B$11,References!$B$12),1,IF(References!$B$11,IF(J169="CSDDD",0,1),IF(References!$B$12,IF(J169="REGEN",0,1),IF(J169="FSA",1,0))))</f>
        <v>1</v>
      </c>
    </row>
    <row r="170" spans="2:25" ht="18" hidden="1">
      <c r="B170" s="123"/>
      <c r="D170" s="231" t="s">
        <v>886</v>
      </c>
      <c r="E170" s="236" t="s">
        <v>887</v>
      </c>
      <c r="F170" s="313"/>
      <c r="G170" s="314"/>
      <c r="H170" s="266"/>
      <c r="I170" s="231"/>
      <c r="J170" s="162" t="s">
        <v>982</v>
      </c>
      <c r="K170" s="150">
        <f t="shared" si="14"/>
        <v>1</v>
      </c>
      <c r="L170" s="234" t="str">
        <f t="shared" si="17"/>
        <v/>
      </c>
      <c r="M170" s="235"/>
      <c r="N170" s="237"/>
      <c r="O170" s="237"/>
      <c r="P170" s="237"/>
      <c r="Q170" s="237"/>
      <c r="R170" s="159"/>
      <c r="S170" s="159"/>
      <c r="T170" s="159"/>
      <c r="U170" t="e">
        <f>VLOOKUP(queData[[#This Row],[Code]],RegenAg!$B$52:$C$76,2,0)=1</f>
        <v>#N/A</v>
      </c>
      <c r="Y170">
        <f>IF(AND(References!$B$11,References!$B$12),1,IF(References!$B$11,IF(J170="CSDDD",0,1),IF(References!$B$12,IF(J170="REGEN",0,1),IF(J170="FSA",1,0))))</f>
        <v>1</v>
      </c>
    </row>
    <row r="171" spans="2:25" ht="150" hidden="1">
      <c r="B171" s="123"/>
      <c r="D171" s="231" t="s">
        <v>1382</v>
      </c>
      <c r="E171" s="232" t="s">
        <v>888</v>
      </c>
      <c r="F171" s="232" t="str">
        <f>'Checklist 2026'!F99</f>
        <v>Sim</v>
      </c>
      <c r="G171" s="233" t="str">
        <f>IF(queData[[#This Row],[Responder]]="Sim","Yes",IF(queData[[#This Row],[Responder]]="N/A","Yes","No"))</f>
        <v>Yes</v>
      </c>
      <c r="H171" s="246" t="s">
        <v>1293</v>
      </c>
      <c r="I171" s="231" t="s">
        <v>885</v>
      </c>
      <c r="J171" s="162" t="s">
        <v>982</v>
      </c>
      <c r="K171" s="150">
        <f t="shared" si="14"/>
        <v>1</v>
      </c>
      <c r="L171" s="234" t="str">
        <f t="shared" si="17"/>
        <v>DUE DILIGENCE</v>
      </c>
      <c r="M171" s="235"/>
      <c r="N171" s="237" t="s">
        <v>1579</v>
      </c>
      <c r="O171" s="237" t="s">
        <v>1580</v>
      </c>
      <c r="P171" s="237" t="s">
        <v>1581</v>
      </c>
      <c r="Q171" s="237"/>
      <c r="R171" s="159"/>
      <c r="S171" s="159"/>
      <c r="T171" s="159"/>
      <c r="U171" t="e">
        <f>VLOOKUP(queData[[#This Row],[Code]],RegenAg!$B$52:$C$76,2,0)=1</f>
        <v>#N/A</v>
      </c>
      <c r="X171">
        <v>1</v>
      </c>
      <c r="Y171">
        <f>IF(AND(References!$B$11,References!$B$12),1,IF(References!$B$11,IF(J171="CSDDD",0,1),IF(References!$B$12,IF(J171="REGEN",0,1),IF(J171="FSA",1,0))))</f>
        <v>1</v>
      </c>
    </row>
    <row r="172" spans="2:25" ht="250" hidden="1">
      <c r="B172" s="123"/>
      <c r="D172" s="231" t="s">
        <v>1383</v>
      </c>
      <c r="E172" s="232" t="s">
        <v>889</v>
      </c>
      <c r="F172" s="232" t="str">
        <f>'Checklist 2026'!F99</f>
        <v>Sim</v>
      </c>
      <c r="G172" s="233" t="str">
        <f>IF(queData[[#This Row],[Responder]]="Sim","Yes",IF(queData[[#This Row],[Responder]]="N/A","Yes","No"))</f>
        <v>Yes</v>
      </c>
      <c r="H172" s="246" t="s">
        <v>1293</v>
      </c>
      <c r="I172" s="231" t="s">
        <v>885</v>
      </c>
      <c r="J172" s="162" t="s">
        <v>982</v>
      </c>
      <c r="K172" s="150">
        <f t="shared" si="14"/>
        <v>1</v>
      </c>
      <c r="L172" s="234" t="str">
        <f t="shared" si="17"/>
        <v>DUE DILIGENCE</v>
      </c>
      <c r="M172" s="235"/>
      <c r="N172" s="237" t="s">
        <v>1582</v>
      </c>
      <c r="O172" s="237" t="s">
        <v>999</v>
      </c>
      <c r="P172" s="237" t="s">
        <v>1583</v>
      </c>
      <c r="Q172" s="237"/>
      <c r="R172" s="159"/>
      <c r="S172" s="159"/>
      <c r="T172" s="159"/>
      <c r="U172" t="e">
        <f>VLOOKUP(queData[[#This Row],[Code]],RegenAg!$B$52:$C$76,2,0)=1</f>
        <v>#N/A</v>
      </c>
      <c r="X172">
        <v>1</v>
      </c>
      <c r="Y172">
        <f>IF(AND(References!$B$11,References!$B$12),1,IF(References!$B$11,IF(J172="CSDDD",0,1),IF(References!$B$12,IF(J172="REGEN",0,1),IF(J172="FSA",1,0))))</f>
        <v>1</v>
      </c>
    </row>
    <row r="173" spans="2:25" ht="125" hidden="1">
      <c r="B173" s="123"/>
      <c r="D173" s="231" t="s">
        <v>890</v>
      </c>
      <c r="E173" s="236" t="s">
        <v>891</v>
      </c>
      <c r="F173" s="236" t="str">
        <f>'Checklist 2026'!F99</f>
        <v>Sim</v>
      </c>
      <c r="G173" s="233" t="str">
        <f>IF(queData[[#This Row],[Responder]]="Sim","Yes",IF(queData[[#This Row],[Responder]]="N/A","Yes","No"))</f>
        <v>Yes</v>
      </c>
      <c r="H173" s="267" t="s">
        <v>1294</v>
      </c>
      <c r="I173" s="231" t="s">
        <v>885</v>
      </c>
      <c r="J173" s="162" t="s">
        <v>982</v>
      </c>
      <c r="K173" s="150">
        <f t="shared" si="14"/>
        <v>1</v>
      </c>
      <c r="L173" s="234" t="str">
        <f t="shared" si="17"/>
        <v>DUE DILIGENCE</v>
      </c>
      <c r="M173" s="235"/>
      <c r="N173" s="237" t="s">
        <v>1154</v>
      </c>
      <c r="O173" s="237" t="s">
        <v>1155</v>
      </c>
      <c r="P173" s="237" t="s">
        <v>1156</v>
      </c>
      <c r="Q173" s="237" t="s">
        <v>1157</v>
      </c>
      <c r="R173" s="159"/>
      <c r="S173" s="159"/>
      <c r="T173" s="159"/>
      <c r="U173" t="e">
        <f>VLOOKUP(queData[[#This Row],[Code]],RegenAg!$B$52:$C$76,2,0)=1</f>
        <v>#N/A</v>
      </c>
      <c r="X173">
        <v>1</v>
      </c>
      <c r="Y173">
        <f>IF(AND(References!$B$11,References!$B$12),1,IF(References!$B$11,IF(J173="CSDDD",0,1),IF(References!$B$12,IF(J173="REGEN",0,1),IF(J173="FSA",1,0))))</f>
        <v>1</v>
      </c>
    </row>
    <row r="174" spans="2:25" ht="62.5" hidden="1">
      <c r="B174" s="123"/>
      <c r="D174" s="231" t="s">
        <v>892</v>
      </c>
      <c r="E174" s="308" t="s">
        <v>893</v>
      </c>
      <c r="F174" s="308" t="str">
        <f>'Checklist 2026'!F93</f>
        <v>Sim</v>
      </c>
      <c r="G174" s="233" t="str">
        <f>IF(queData[[#This Row],[Responder]]="Sim","Yes",IF(queData[[#This Row],[Responder]]="N/A","Yes","No"))</f>
        <v>Yes</v>
      </c>
      <c r="H174" s="267" t="s">
        <v>1294</v>
      </c>
      <c r="I174" s="231" t="s">
        <v>885</v>
      </c>
      <c r="J174" s="162" t="s">
        <v>982</v>
      </c>
      <c r="K174" s="150">
        <f t="shared" si="14"/>
        <v>1</v>
      </c>
      <c r="L174" s="234" t="str">
        <f t="shared" si="17"/>
        <v>DUE DILIGENCE</v>
      </c>
      <c r="M174" s="235"/>
      <c r="N174" s="237" t="s">
        <v>1158</v>
      </c>
      <c r="O174" s="237" t="s">
        <v>1159</v>
      </c>
      <c r="P174" s="237" t="s">
        <v>1160</v>
      </c>
      <c r="Q174" s="237" t="s">
        <v>1161</v>
      </c>
      <c r="R174" s="159"/>
      <c r="S174" s="159"/>
      <c r="T174" s="159"/>
      <c r="U174" t="e">
        <f>VLOOKUP(queData[[#This Row],[Code]],RegenAg!$B$52:$C$76,2,0)=1</f>
        <v>#N/A</v>
      </c>
      <c r="X174">
        <v>1</v>
      </c>
      <c r="Y174">
        <f>IF(AND(References!$B$11,References!$B$12),1,IF(References!$B$11,IF(J174="CSDDD",0,1),IF(References!$B$12,IF(J174="REGEN",0,1),IF(J174="FSA",1,0))))</f>
        <v>1</v>
      </c>
    </row>
    <row r="175" spans="2:25" ht="175" hidden="1">
      <c r="B175" s="123"/>
      <c r="D175" s="231" t="s">
        <v>1591</v>
      </c>
      <c r="E175" s="236" t="s">
        <v>894</v>
      </c>
      <c r="F175" s="315" t="str">
        <f>'Checklist 2026'!F107</f>
        <v>Sim</v>
      </c>
      <c r="G175" s="233" t="str">
        <f>IF(queData[[#This Row],[Responder]]="Sim","Yes",IF(queData[[#This Row],[Responder]]="N/A","Yes","No"))</f>
        <v>Yes</v>
      </c>
      <c r="H175" s="266"/>
      <c r="I175" s="231" t="s">
        <v>885</v>
      </c>
      <c r="J175" s="162" t="s">
        <v>0</v>
      </c>
      <c r="K175" s="150">
        <f t="shared" si="14"/>
        <v>1</v>
      </c>
      <c r="L175" s="234" t="str">
        <f t="shared" si="17"/>
        <v>DUE DILIGENCE</v>
      </c>
      <c r="M175" s="235"/>
      <c r="N175" s="237" t="s">
        <v>1162</v>
      </c>
      <c r="O175" s="237" t="s">
        <v>1044</v>
      </c>
      <c r="P175" s="237" t="s">
        <v>1163</v>
      </c>
      <c r="Q175" s="237"/>
      <c r="R175" s="159"/>
      <c r="S175" s="159"/>
      <c r="T175" s="159"/>
      <c r="U175" t="e">
        <f>VLOOKUP(queData[[#This Row],[Code]],RegenAg!$B$52:$C$76,2,0)=1</f>
        <v>#N/A</v>
      </c>
      <c r="X175">
        <v>1</v>
      </c>
      <c r="Y175">
        <f>IF(AND(References!$B$11,References!$B$12),1,IF(References!$B$11,IF(J175="CSDDD",0,1),IF(References!$B$12,IF(J175="REGEN",0,1),IF(J175="FSA",1,0))))</f>
        <v>1</v>
      </c>
    </row>
    <row r="176" spans="2:25" ht="212.5" hidden="1">
      <c r="B176" s="123"/>
      <c r="D176" s="231" t="s">
        <v>1592</v>
      </c>
      <c r="E176" s="236" t="s">
        <v>895</v>
      </c>
      <c r="F176" s="236" t="str">
        <f>'Checklist 2026'!F38</f>
        <v>Sim</v>
      </c>
      <c r="G176" s="233" t="str">
        <f>IF(queData[[#This Row],[Responder]]="Sim","Yes",IF(queData[[#This Row],[Responder]]="N/A","Yes","No"))</f>
        <v>Yes</v>
      </c>
      <c r="H176" s="266"/>
      <c r="I176" s="231" t="s">
        <v>885</v>
      </c>
      <c r="J176" s="162" t="s">
        <v>0</v>
      </c>
      <c r="K176" s="150">
        <f t="shared" si="14"/>
        <v>1</v>
      </c>
      <c r="L176" s="234" t="str">
        <f t="shared" si="17"/>
        <v>DUE DILIGENCE</v>
      </c>
      <c r="M176" s="235"/>
      <c r="N176" s="237" t="s">
        <v>1164</v>
      </c>
      <c r="O176" s="237" t="s">
        <v>1044</v>
      </c>
      <c r="P176" s="237" t="s">
        <v>1165</v>
      </c>
      <c r="Q176" s="237" t="s">
        <v>1166</v>
      </c>
      <c r="R176" s="159"/>
      <c r="S176" s="159"/>
      <c r="T176" s="159"/>
      <c r="U176" t="e">
        <f>VLOOKUP(queData[[#This Row],[Code]],RegenAg!$B$52:$C$76,2,0)=1</f>
        <v>#N/A</v>
      </c>
      <c r="X176">
        <v>1</v>
      </c>
      <c r="Y176">
        <f>IF(AND(References!$B$11,References!$B$12),1,IF(References!$B$11,IF(J176="CSDDD",0,1),IF(References!$B$12,IF(J176="REGEN",0,1),IF(J176="FSA",1,0))))</f>
        <v>1</v>
      </c>
    </row>
    <row r="177" spans="2:25" ht="87.5" hidden="1">
      <c r="B177" s="123"/>
      <c r="D177" s="231" t="s">
        <v>1593</v>
      </c>
      <c r="E177" s="236" t="s">
        <v>896</v>
      </c>
      <c r="F177" s="236" t="str">
        <f>'Checklist 2026'!F35</f>
        <v>Sim</v>
      </c>
      <c r="G177" s="233" t="str">
        <f>IF(queData[[#This Row],[Responder]]="Sim","Yes",IF(queData[[#This Row],[Responder]]="N/A","Yes","No"))</f>
        <v>Yes</v>
      </c>
      <c r="H177" s="266"/>
      <c r="I177" s="231" t="s">
        <v>885</v>
      </c>
      <c r="J177" s="162" t="s">
        <v>0</v>
      </c>
      <c r="K177" s="150">
        <f t="shared" si="14"/>
        <v>1</v>
      </c>
      <c r="L177" s="234" t="str">
        <f t="shared" si="17"/>
        <v>DUE DILIGENCE</v>
      </c>
      <c r="M177" s="235"/>
      <c r="N177" s="237" t="s">
        <v>1167</v>
      </c>
      <c r="O177" s="237" t="s">
        <v>1044</v>
      </c>
      <c r="P177" s="237"/>
      <c r="Q177" s="237"/>
      <c r="R177" s="159"/>
      <c r="S177" s="159"/>
      <c r="T177" s="159"/>
      <c r="U177" t="e">
        <f>VLOOKUP(queData[[#This Row],[Code]],RegenAg!$B$52:$C$76,2,0)=1</f>
        <v>#N/A</v>
      </c>
      <c r="X177">
        <v>1</v>
      </c>
      <c r="Y177">
        <f>IF(AND(References!$B$11,References!$B$12),1,IF(References!$B$11,IF(J177="CSDDD",0,1),IF(References!$B$12,IF(J177="REGEN",0,1),IF(J177="FSA",1,0))))</f>
        <v>1</v>
      </c>
    </row>
    <row r="178" spans="2:25" ht="18" hidden="1">
      <c r="B178" s="123"/>
      <c r="D178" s="241"/>
      <c r="E178" s="242" t="s">
        <v>1400</v>
      </c>
      <c r="F178" s="242"/>
      <c r="G178" s="277"/>
      <c r="H178" s="241"/>
      <c r="I178" s="241"/>
      <c r="J178" s="164"/>
      <c r="K178" s="150">
        <f t="shared" si="14"/>
        <v>1</v>
      </c>
      <c r="L178" s="241"/>
      <c r="M178" s="235"/>
      <c r="N178" s="241"/>
      <c r="O178" s="241"/>
      <c r="P178" s="241"/>
      <c r="Q178" s="241"/>
      <c r="R178" s="159"/>
      <c r="S178" s="159"/>
      <c r="T178" s="159"/>
      <c r="U178" t="e">
        <f>VLOOKUP(queData[[#This Row],[Code]],RegenAg!$B$52:$C$76,2,0)=1</f>
        <v>#N/A</v>
      </c>
      <c r="Y178">
        <f>IF(AND(References!$B$11,References!$B$12),1,IF(References!$B$11,IF(J178="CSDDD",0,1),IF(References!$B$12,IF(J178="REGEN",0,1),IF(J178="FSA",1,0))))</f>
        <v>1</v>
      </c>
    </row>
    <row r="179" spans="2:25" ht="52" hidden="1">
      <c r="B179" s="123"/>
      <c r="D179" s="231"/>
      <c r="E179" s="250" t="s">
        <v>1401</v>
      </c>
      <c r="F179" s="309" t="str">
        <f>IF('Checklist 2026'!F6&lt;&gt;0,"Sim","Não")</f>
        <v>Sim</v>
      </c>
      <c r="G179" s="233" t="str">
        <f>IF(queData[[#This Row],[Responder]]="Sim","Yes","No")</f>
        <v>Yes</v>
      </c>
      <c r="H179" s="246" t="str">
        <f>IF(queData[[#This Row],[Answer]]="Yes","",HYPERLINK(References!F$15&amp;"F200","Go to FSA96"))</f>
        <v/>
      </c>
      <c r="I179" s="231" t="s">
        <v>899</v>
      </c>
      <c r="J179" s="162" t="s">
        <v>982</v>
      </c>
      <c r="K179" s="150">
        <f t="shared" si="14"/>
        <v>1</v>
      </c>
      <c r="L179" s="234" t="str">
        <f t="shared" ref="L179:L222" si="18">IF(AND(W179=1,X179=1),"REGEN &amp; DUE DILIGENCE",IF(AND(W179=1,ISBLANK(X179)),"REGEN",IF(AND(ISBLANK(W179),X179=1),"DUE DILIGENCE","")))</f>
        <v/>
      </c>
      <c r="M179" s="235"/>
      <c r="N179" s="237"/>
      <c r="O179" s="237"/>
      <c r="P179" s="237"/>
      <c r="Q179" s="237"/>
      <c r="R179" s="159"/>
      <c r="S179" s="159"/>
      <c r="T179" s="159"/>
      <c r="U179" t="e">
        <f>VLOOKUP(queData[[#This Row],[Code]],RegenAg!$B$52:$C$76,2,0)=1</f>
        <v>#N/A</v>
      </c>
      <c r="Y179">
        <f>IF(AND(References!$B$11,References!$B$12),1,IF(References!$B$11,IF(J179="CSDDD",0,1),IF(References!$B$12,IF(J179="REGEN",0,1),IF(J179="FSA",1,0))))</f>
        <v>1</v>
      </c>
    </row>
    <row r="180" spans="2:25" ht="75" hidden="1">
      <c r="B180" s="123"/>
      <c r="D180" s="231" t="s">
        <v>897</v>
      </c>
      <c r="E180" s="236" t="s">
        <v>898</v>
      </c>
      <c r="F180" s="236" t="str">
        <f>'Checklist 2026'!F20</f>
        <v>Sim</v>
      </c>
      <c r="G180" s="233" t="str">
        <f>IF(queData[[#This Row],[Responder]]="Sim","Yes",IF(queData[[#This Row],[Responder]]="N/A","Yes","No"))</f>
        <v>Yes</v>
      </c>
      <c r="H180" s="265" t="str">
        <f>IF(G$179="YES", "Essential","Not Applicable")</f>
        <v>Essential</v>
      </c>
      <c r="I180" s="231" t="s">
        <v>899</v>
      </c>
      <c r="J180" s="162" t="s">
        <v>982</v>
      </c>
      <c r="K180" s="150">
        <f t="shared" si="14"/>
        <v>1</v>
      </c>
      <c r="L180" s="234" t="str">
        <f t="shared" si="18"/>
        <v/>
      </c>
      <c r="M180" s="235"/>
      <c r="N180" s="237" t="s">
        <v>1168</v>
      </c>
      <c r="O180" s="237"/>
      <c r="P180" s="237" t="s">
        <v>1169</v>
      </c>
      <c r="Q180" s="237"/>
      <c r="R180" s="159"/>
      <c r="S180" s="159"/>
      <c r="T180" s="159"/>
      <c r="U180" t="e">
        <f>VLOOKUP(queData[[#This Row],[Code]],RegenAg!$B$52:$C$76,2,0)=1</f>
        <v>#N/A</v>
      </c>
      <c r="Y180">
        <f>IF(AND(References!$B$11,References!$B$12),1,IF(References!$B$11,IF(J180="CSDDD",0,1),IF(References!$B$12,IF(J180="REGEN",0,1),IF(J180="FSA",1,0))))</f>
        <v>1</v>
      </c>
    </row>
    <row r="181" spans="2:25" ht="212.5" hidden="1">
      <c r="B181" s="123"/>
      <c r="D181" s="231" t="s">
        <v>900</v>
      </c>
      <c r="E181" s="236" t="s">
        <v>901</v>
      </c>
      <c r="F181" s="236" t="str">
        <f>'Checklist 2026'!F20</f>
        <v>Sim</v>
      </c>
      <c r="G181" s="233" t="str">
        <f>IF(queData[[#This Row],[Responder]]="Sim","Yes",IF(queData[[#This Row],[Responder]]="N/A","Yes","No"))</f>
        <v>Yes</v>
      </c>
      <c r="H181" s="265" t="str">
        <f>IF(G$179="YES", "Essential","Not Applicable")</f>
        <v>Essential</v>
      </c>
      <c r="I181" s="231" t="s">
        <v>899</v>
      </c>
      <c r="J181" s="162" t="s">
        <v>982</v>
      </c>
      <c r="K181" s="150">
        <f t="shared" si="14"/>
        <v>1</v>
      </c>
      <c r="L181" s="234" t="str">
        <f t="shared" si="18"/>
        <v/>
      </c>
      <c r="M181" s="235"/>
      <c r="N181" s="237" t="s">
        <v>1170</v>
      </c>
      <c r="O181" s="237"/>
      <c r="P181" s="237" t="s">
        <v>1171</v>
      </c>
      <c r="Q181" s="237" t="s">
        <v>1172</v>
      </c>
      <c r="R181" s="159"/>
      <c r="S181" s="159"/>
      <c r="T181" s="159"/>
      <c r="U181" t="e">
        <f>VLOOKUP(queData[[#This Row],[Code]],RegenAg!$B$52:$C$76,2,0)=1</f>
        <v>#N/A</v>
      </c>
      <c r="Y181">
        <f>IF(AND(References!$B$11,References!$B$12),1,IF(References!$B$11,IF(J181="CSDDD",0,1),IF(References!$B$12,IF(J181="REGEN",0,1),IF(J181="FSA",1,0))))</f>
        <v>1</v>
      </c>
    </row>
    <row r="182" spans="2:25" ht="200" hidden="1">
      <c r="B182" s="123"/>
      <c r="D182" s="231" t="s">
        <v>902</v>
      </c>
      <c r="E182" s="236" t="s">
        <v>903</v>
      </c>
      <c r="F182" s="236" t="str">
        <f>'Checklist 2026'!F20</f>
        <v>Sim</v>
      </c>
      <c r="G182" s="233" t="str">
        <f>IF(queData[[#This Row],[Responder]]="Sim","Yes",IF(queData[[#This Row],[Responder]]="N/A","Yes","No"))</f>
        <v>Yes</v>
      </c>
      <c r="H182" s="265" t="str">
        <f>IF(G$179="YES", "Essential","Not Applicable")</f>
        <v>Essential</v>
      </c>
      <c r="I182" s="231" t="s">
        <v>899</v>
      </c>
      <c r="J182" s="162" t="s">
        <v>982</v>
      </c>
      <c r="K182" s="150">
        <f t="shared" si="14"/>
        <v>1</v>
      </c>
      <c r="L182" s="234" t="str">
        <f t="shared" si="18"/>
        <v/>
      </c>
      <c r="M182" s="235"/>
      <c r="N182" s="237" t="s">
        <v>1173</v>
      </c>
      <c r="O182" s="237"/>
      <c r="P182" s="237"/>
      <c r="Q182" s="237" t="s">
        <v>1174</v>
      </c>
      <c r="R182" s="159"/>
      <c r="S182" s="159"/>
      <c r="T182" s="159"/>
      <c r="U182" t="e">
        <f>VLOOKUP(queData[[#This Row],[Code]],RegenAg!$B$52:$C$76,2,0)=1</f>
        <v>#N/A</v>
      </c>
      <c r="Y182">
        <f>IF(AND(References!$B$11,References!$B$12),1,IF(References!$B$11,IF(J182="CSDDD",0,1),IF(References!$B$12,IF(J182="REGEN",0,1),IF(J182="FSA",1,0))))</f>
        <v>1</v>
      </c>
    </row>
    <row r="183" spans="2:25" ht="62.5" hidden="1">
      <c r="B183" s="123"/>
      <c r="D183" s="231" t="s">
        <v>904</v>
      </c>
      <c r="E183" s="236" t="s">
        <v>905</v>
      </c>
      <c r="F183" s="236" t="str">
        <f>'Checklist 2026'!F22</f>
        <v>Sim</v>
      </c>
      <c r="G183" s="233" t="str">
        <f>IF(queData[[#This Row],[Responder]]="Sim","Yes",IF(queData[[#This Row],[Responder]]="N/A","Yes","No"))</f>
        <v>Yes</v>
      </c>
      <c r="H183" s="246" t="str">
        <f>IF(G$179="YES", "Intermediate","Not Applicable")</f>
        <v>Intermediate</v>
      </c>
      <c r="I183" s="231" t="s">
        <v>899</v>
      </c>
      <c r="J183" s="162" t="s">
        <v>982</v>
      </c>
      <c r="K183" s="150">
        <f t="shared" si="14"/>
        <v>1</v>
      </c>
      <c r="L183" s="234" t="str">
        <f t="shared" si="18"/>
        <v>DUE DILIGENCE</v>
      </c>
      <c r="M183" s="235"/>
      <c r="N183" s="237" t="s">
        <v>1175</v>
      </c>
      <c r="O183" s="237"/>
      <c r="P183" s="237" t="s">
        <v>1176</v>
      </c>
      <c r="Q183" s="237" t="s">
        <v>1174</v>
      </c>
      <c r="R183" s="159"/>
      <c r="S183" s="159"/>
      <c r="T183" s="159"/>
      <c r="U183" t="e">
        <f>VLOOKUP(queData[[#This Row],[Code]],RegenAg!$B$52:$C$76,2,0)=1</f>
        <v>#N/A</v>
      </c>
      <c r="X183">
        <v>1</v>
      </c>
      <c r="Y183">
        <f>IF(AND(References!$B$11,References!$B$12),1,IF(References!$B$11,IF(J183="CSDDD",0,1),IF(References!$B$12,IF(J183="REGEN",0,1),IF(J183="FSA",1,0))))</f>
        <v>1</v>
      </c>
    </row>
    <row r="184" spans="2:25" ht="137.5" hidden="1">
      <c r="B184" s="123"/>
      <c r="D184" s="231" t="s">
        <v>906</v>
      </c>
      <c r="E184" s="236" t="s">
        <v>907</v>
      </c>
      <c r="F184" s="236" t="str">
        <f>'Checklist 2026'!F20</f>
        <v>Sim</v>
      </c>
      <c r="G184" s="233" t="str">
        <f>IF(queData[[#This Row],[Responder]]="Sim","Yes",IF(queData[[#This Row],[Responder]]="N/A","Yes","No"))</f>
        <v>Yes</v>
      </c>
      <c r="H184" s="265" t="str">
        <f>IF(G$179="YES", "Essential","Not Applicable")</f>
        <v>Essential</v>
      </c>
      <c r="I184" s="231" t="s">
        <v>899</v>
      </c>
      <c r="J184" s="162" t="s">
        <v>982</v>
      </c>
      <c r="K184" s="150">
        <f t="shared" si="14"/>
        <v>1</v>
      </c>
      <c r="L184" s="234" t="str">
        <f t="shared" si="18"/>
        <v/>
      </c>
      <c r="M184" s="235"/>
      <c r="N184" s="237" t="s">
        <v>1177</v>
      </c>
      <c r="O184" s="237" t="s">
        <v>1178</v>
      </c>
      <c r="P184" s="237" t="s">
        <v>1179</v>
      </c>
      <c r="Q184" s="237" t="s">
        <v>1180</v>
      </c>
      <c r="R184" s="159"/>
      <c r="S184" s="159"/>
      <c r="T184" s="159"/>
      <c r="U184" t="e">
        <f>VLOOKUP(queData[[#This Row],[Code]],RegenAg!$B$52:$C$76,2,0)=1</f>
        <v>#N/A</v>
      </c>
      <c r="Y184">
        <f>IF(AND(References!$B$11,References!$B$12),1,IF(References!$B$11,IF(J184="CSDDD",0,1),IF(References!$B$12,IF(J184="REGEN",0,1),IF(J184="FSA",1,0))))</f>
        <v>1</v>
      </c>
    </row>
    <row r="185" spans="2:25" ht="137.5" hidden="1">
      <c r="B185" s="123"/>
      <c r="D185" s="231" t="s">
        <v>908</v>
      </c>
      <c r="E185" s="236" t="s">
        <v>909</v>
      </c>
      <c r="F185" s="236" t="str">
        <f>IF('Checklist 2026'!F6&lt;=20,"N/A",IF('Checklist 2026'!F74="Sim","Sim","Não"))</f>
        <v>N/A</v>
      </c>
      <c r="G185" s="233" t="str">
        <f>IF(queData[[#This Row],[Responder]]="Sim","Yes",IF(queData[[#This Row],[Responder]]="N/A","Yes","No"))</f>
        <v>Yes</v>
      </c>
      <c r="H185" s="246" t="str">
        <f>IF(G$179="YES", "Intermediate","Not Applicable")</f>
        <v>Intermediate</v>
      </c>
      <c r="I185" s="231" t="s">
        <v>899</v>
      </c>
      <c r="J185" s="162" t="s">
        <v>982</v>
      </c>
      <c r="K185" s="150">
        <f t="shared" si="14"/>
        <v>1</v>
      </c>
      <c r="L185" s="234" t="str">
        <f t="shared" si="18"/>
        <v>DUE DILIGENCE</v>
      </c>
      <c r="M185" s="235"/>
      <c r="N185" s="237" t="s">
        <v>1181</v>
      </c>
      <c r="O185" s="237"/>
      <c r="P185" s="237" t="s">
        <v>1182</v>
      </c>
      <c r="Q185" s="237" t="s">
        <v>1183</v>
      </c>
      <c r="R185" s="159"/>
      <c r="S185" s="159"/>
      <c r="T185" s="159"/>
      <c r="U185" t="e">
        <f>VLOOKUP(queData[[#This Row],[Code]],RegenAg!$B$52:$C$76,2,0)=1</f>
        <v>#N/A</v>
      </c>
      <c r="X185">
        <v>1</v>
      </c>
      <c r="Y185">
        <f>IF(AND(References!$B$11,References!$B$12),1,IF(References!$B$11,IF(J185="CSDDD",0,1),IF(References!$B$12,IF(J185="REGEN",0,1),IF(J185="FSA",1,0))))</f>
        <v>1</v>
      </c>
    </row>
    <row r="186" spans="2:25" ht="312.5" hidden="1">
      <c r="B186" s="123"/>
      <c r="D186" s="231" t="s">
        <v>910</v>
      </c>
      <c r="E186" s="236" t="s">
        <v>911</v>
      </c>
      <c r="F186" s="236" t="str">
        <f>'Checklist 2026'!F20</f>
        <v>Sim</v>
      </c>
      <c r="G186" s="233" t="str">
        <f>IF(queData[[#This Row],[Responder]]="Sim","Yes",IF(queData[[#This Row],[Responder]]="N/A","Yes","No"))</f>
        <v>Yes</v>
      </c>
      <c r="H186" s="246" t="str">
        <f>IF(G$179="YES", "Intermediate","Not Applicable")</f>
        <v>Intermediate</v>
      </c>
      <c r="I186" s="231" t="s">
        <v>899</v>
      </c>
      <c r="J186" s="162" t="s">
        <v>982</v>
      </c>
      <c r="K186" s="150">
        <f t="shared" si="14"/>
        <v>1</v>
      </c>
      <c r="L186" s="234" t="str">
        <f t="shared" si="18"/>
        <v>DUE DILIGENCE</v>
      </c>
      <c r="M186" s="235"/>
      <c r="N186" s="237" t="s">
        <v>1184</v>
      </c>
      <c r="O186" s="237" t="s">
        <v>1185</v>
      </c>
      <c r="P186" s="237" t="s">
        <v>1186</v>
      </c>
      <c r="Q186" s="237" t="s">
        <v>1187</v>
      </c>
      <c r="R186" s="159"/>
      <c r="S186" s="159"/>
      <c r="T186" s="159"/>
      <c r="U186" t="e">
        <f>VLOOKUP(queData[[#This Row],[Code]],RegenAg!$B$52:$C$76,2,0)=1</f>
        <v>#N/A</v>
      </c>
      <c r="X186">
        <v>1</v>
      </c>
      <c r="Y186">
        <f>IF(AND(References!$B$11,References!$B$12),1,IF(References!$B$11,IF(J186="CSDDD",0,1),IF(References!$B$12,IF(J186="REGEN",0,1),IF(J186="FSA",1,0))))</f>
        <v>1</v>
      </c>
    </row>
    <row r="187" spans="2:25" ht="312.5" hidden="1">
      <c r="B187" s="123"/>
      <c r="D187" s="231" t="s">
        <v>912</v>
      </c>
      <c r="E187" s="236" t="s">
        <v>913</v>
      </c>
      <c r="F187" s="236" t="str">
        <f>'Checklist 2026'!F20</f>
        <v>Sim</v>
      </c>
      <c r="G187" s="233" t="str">
        <f>IF(queData[[#This Row],[Responder]]="Sim","Yes",IF(queData[[#This Row],[Responder]]="N/A","Yes","No"))</f>
        <v>Yes</v>
      </c>
      <c r="H187" s="246" t="str">
        <f>IF(G$179="YES", "Intermediate","Not Applicable")</f>
        <v>Intermediate</v>
      </c>
      <c r="I187" s="231" t="s">
        <v>899</v>
      </c>
      <c r="J187" s="162" t="s">
        <v>982</v>
      </c>
      <c r="K187" s="150">
        <f t="shared" si="14"/>
        <v>1</v>
      </c>
      <c r="L187" s="234" t="str">
        <f t="shared" si="18"/>
        <v/>
      </c>
      <c r="M187" s="235"/>
      <c r="N187" s="237" t="s">
        <v>1188</v>
      </c>
      <c r="O187" s="237" t="s">
        <v>1189</v>
      </c>
      <c r="P187" s="237" t="s">
        <v>1190</v>
      </c>
      <c r="Q187" s="237" t="s">
        <v>1191</v>
      </c>
      <c r="U187" t="e">
        <f>VLOOKUP(queData[[#This Row],[Code]],RegenAg!$B$52:$C$76,2,0)=1</f>
        <v>#N/A</v>
      </c>
      <c r="Y187">
        <f>IF(AND(References!$B$11,References!$B$12),1,IF(References!$B$11,IF(J187="CSDDD",0,1),IF(References!$B$12,IF(J187="REGEN",0,1),IF(J187="FSA",1,0))))</f>
        <v>1</v>
      </c>
    </row>
    <row r="188" spans="2:25" ht="137.5" hidden="1">
      <c r="B188" s="119"/>
      <c r="D188" s="231" t="s">
        <v>914</v>
      </c>
      <c r="E188" s="236" t="s">
        <v>915</v>
      </c>
      <c r="F188" s="236" t="str">
        <f>'Checklist 2026'!F20</f>
        <v>Sim</v>
      </c>
      <c r="G188" s="233" t="str">
        <f>IF(queData[[#This Row],[Responder]]="Sim","Yes",IF(queData[[#This Row],[Responder]]="N/A","Yes","No"))</f>
        <v>Yes</v>
      </c>
      <c r="H188" s="265" t="str">
        <f>IF(G$179="YES", "Essential","Not Applicable")</f>
        <v>Essential</v>
      </c>
      <c r="I188" s="231" t="s">
        <v>899</v>
      </c>
      <c r="J188" s="162" t="s">
        <v>982</v>
      </c>
      <c r="K188" s="150">
        <f t="shared" si="14"/>
        <v>1</v>
      </c>
      <c r="L188" s="234" t="str">
        <f t="shared" si="18"/>
        <v>DUE DILIGENCE</v>
      </c>
      <c r="M188" s="235"/>
      <c r="N188" s="237" t="s">
        <v>1192</v>
      </c>
      <c r="O188" s="237"/>
      <c r="P188" s="237"/>
      <c r="Q188" s="237" t="s">
        <v>1193</v>
      </c>
      <c r="U188" t="e">
        <f>VLOOKUP(queData[[#This Row],[Code]],RegenAg!$B$52:$C$76,2,0)=1</f>
        <v>#N/A</v>
      </c>
      <c r="X188">
        <v>1</v>
      </c>
      <c r="Y188">
        <f>IF(AND(References!$B$11,References!$B$12),1,IF(References!$B$11,IF(J188="CSDDD",0,1),IF(References!$B$12,IF(J188="REGEN",0,1),IF(J188="FSA",1,0))))</f>
        <v>1</v>
      </c>
    </row>
    <row r="189" spans="2:25" ht="75" hidden="1">
      <c r="B189" s="119"/>
      <c r="D189" s="231" t="s">
        <v>916</v>
      </c>
      <c r="E189" s="236" t="s">
        <v>917</v>
      </c>
      <c r="F189" s="236" t="str">
        <f>'Checklist 2026'!F20</f>
        <v>Sim</v>
      </c>
      <c r="G189" s="233" t="str">
        <f>IF(queData[[#This Row],[Responder]]="Sim","Yes",IF(queData[[#This Row],[Responder]]="N/A","Yes","No"))</f>
        <v>Yes</v>
      </c>
      <c r="H189" s="246" t="str">
        <f>IF(G$179="YES", "Intermediate","Not Applicable")</f>
        <v>Intermediate</v>
      </c>
      <c r="I189" s="231" t="s">
        <v>899</v>
      </c>
      <c r="J189" s="162" t="s">
        <v>982</v>
      </c>
      <c r="K189" s="150">
        <f t="shared" si="14"/>
        <v>1</v>
      </c>
      <c r="L189" s="234" t="str">
        <f t="shared" si="18"/>
        <v/>
      </c>
      <c r="M189" s="235"/>
      <c r="N189" s="237" t="s">
        <v>1194</v>
      </c>
      <c r="O189" s="237" t="s">
        <v>1195</v>
      </c>
      <c r="P189" s="237"/>
      <c r="Q189" s="237" t="s">
        <v>1174</v>
      </c>
      <c r="U189" t="e">
        <f>VLOOKUP(queData[[#This Row],[Code]],RegenAg!$B$52:$C$76,2,0)=1</f>
        <v>#N/A</v>
      </c>
      <c r="Y189">
        <f>IF(AND(References!$B$11,References!$B$12),1,IF(References!$B$11,IF(J189="CSDDD",0,1),IF(References!$B$12,IF(J189="REGEN",0,1),IF(J189="FSA",1,0))))</f>
        <v>1</v>
      </c>
    </row>
    <row r="190" spans="2:25" ht="212.5" hidden="1">
      <c r="B190" s="119"/>
      <c r="D190" s="231" t="s">
        <v>918</v>
      </c>
      <c r="E190" s="236" t="s">
        <v>919</v>
      </c>
      <c r="F190" s="236" t="str">
        <f>'Checklist 2026'!F20</f>
        <v>Sim</v>
      </c>
      <c r="G190" s="233" t="str">
        <f>IF(queData[[#This Row],[Responder]]="Sim","Yes",IF(queData[[#This Row],[Responder]]="N/A","Yes","No"))</f>
        <v>Yes</v>
      </c>
      <c r="H190" s="246" t="str">
        <f>IF(G$179="YES", "Intermediate","Not Applicable")</f>
        <v>Intermediate</v>
      </c>
      <c r="I190" s="231" t="s">
        <v>899</v>
      </c>
      <c r="J190" s="162" t="s">
        <v>982</v>
      </c>
      <c r="K190" s="150">
        <f t="shared" si="14"/>
        <v>1</v>
      </c>
      <c r="L190" s="234" t="str">
        <f t="shared" si="18"/>
        <v>DUE DILIGENCE</v>
      </c>
      <c r="M190" s="235"/>
      <c r="N190" s="237" t="s">
        <v>1196</v>
      </c>
      <c r="O190" s="237"/>
      <c r="P190" s="237" t="s">
        <v>1197</v>
      </c>
      <c r="Q190" s="237" t="s">
        <v>1198</v>
      </c>
      <c r="U190" t="e">
        <f>VLOOKUP(queData[[#This Row],[Code]],RegenAg!$B$52:$C$76,2,0)=1</f>
        <v>#N/A</v>
      </c>
      <c r="X190">
        <v>1</v>
      </c>
      <c r="Y190">
        <f>IF(AND(References!$B$11,References!$B$12),1,IF(References!$B$11,IF(J190="CSDDD",0,1),IF(References!$B$12,IF(J190="REGEN",0,1),IF(J190="FSA",1,0))))</f>
        <v>1</v>
      </c>
    </row>
    <row r="191" spans="2:25" ht="112.5" hidden="1">
      <c r="B191" s="119"/>
      <c r="C191" s="119"/>
      <c r="D191" s="231" t="s">
        <v>920</v>
      </c>
      <c r="E191" s="236" t="s">
        <v>921</v>
      </c>
      <c r="F191" s="236" t="str">
        <f>'Checklist 2026'!F20</f>
        <v>Sim</v>
      </c>
      <c r="G191" s="233" t="str">
        <f>IF(queData[[#This Row],[Responder]]="Sim","Yes",IF(queData[[#This Row],[Responder]]="N/A","Yes","No"))</f>
        <v>Yes</v>
      </c>
      <c r="H191" s="267" t="str">
        <f>IF(G$179="YES", "Advanced","Not Applicable")</f>
        <v>Advanced</v>
      </c>
      <c r="I191" s="231" t="s">
        <v>899</v>
      </c>
      <c r="J191" s="162" t="s">
        <v>982</v>
      </c>
      <c r="K191" s="150">
        <f t="shared" si="14"/>
        <v>1</v>
      </c>
      <c r="L191" s="234" t="str">
        <f t="shared" si="18"/>
        <v/>
      </c>
      <c r="M191" s="235"/>
      <c r="N191" s="237" t="s">
        <v>1199</v>
      </c>
      <c r="O191" s="237"/>
      <c r="P191" s="237" t="s">
        <v>1200</v>
      </c>
      <c r="Q191" s="237" t="s">
        <v>1201</v>
      </c>
      <c r="U191" t="e">
        <f>VLOOKUP(queData[[#This Row],[Code]],RegenAg!$B$52:$C$76,2,0)=1</f>
        <v>#N/A</v>
      </c>
      <c r="Y191">
        <f>IF(AND(References!$B$11,References!$B$12),1,IF(References!$B$11,IF(J191="CSDDD",0,1),IF(References!$B$12,IF(J191="REGEN",0,1),IF(J191="FSA",1,0))))</f>
        <v>1</v>
      </c>
    </row>
    <row r="192" spans="2:25" ht="62.5" hidden="1">
      <c r="B192" s="119"/>
      <c r="C192" s="119"/>
      <c r="D192" s="231" t="s">
        <v>922</v>
      </c>
      <c r="E192" s="236" t="s">
        <v>923</v>
      </c>
      <c r="F192" s="236" t="str">
        <f>'Checklist 2026'!F20</f>
        <v>Sim</v>
      </c>
      <c r="G192" s="233" t="str">
        <f>IF(queData[[#This Row],[Responder]]="Sim","Yes",IF(queData[[#This Row],[Responder]]="N/A","Yes","No"))</f>
        <v>Yes</v>
      </c>
      <c r="H192" s="267" t="str">
        <f>IF(G$179="YES", "Advanced","Not Applicable")</f>
        <v>Advanced</v>
      </c>
      <c r="I192" s="231" t="s">
        <v>899</v>
      </c>
      <c r="J192" s="162" t="s">
        <v>982</v>
      </c>
      <c r="K192" s="150">
        <f t="shared" si="14"/>
        <v>1</v>
      </c>
      <c r="L192" s="234" t="str">
        <f t="shared" si="18"/>
        <v/>
      </c>
      <c r="M192" s="235"/>
      <c r="N192" s="237" t="s">
        <v>1202</v>
      </c>
      <c r="O192" s="237"/>
      <c r="P192" s="237" t="s">
        <v>1203</v>
      </c>
      <c r="Q192" s="237" t="s">
        <v>1204</v>
      </c>
      <c r="S192" s="119"/>
      <c r="T192" s="119"/>
      <c r="U192" t="e">
        <f>VLOOKUP(queData[[#This Row],[Code]],RegenAg!$B$52:$C$76,2,0)=1</f>
        <v>#N/A</v>
      </c>
      <c r="Y192">
        <f>IF(AND(References!$B$11,References!$B$12),1,IF(References!$B$11,IF(J192="CSDDD",0,1),IF(References!$B$12,IF(J192="REGEN",0,1),IF(J192="FSA",1,0))))</f>
        <v>1</v>
      </c>
    </row>
    <row r="193" spans="4:25" ht="162.5" hidden="1">
      <c r="D193" s="231" t="s">
        <v>924</v>
      </c>
      <c r="E193" s="236" t="s">
        <v>925</v>
      </c>
      <c r="F193" s="236" t="str">
        <f>'Checklist 2026'!F21</f>
        <v>Sim</v>
      </c>
      <c r="G193" s="233" t="str">
        <f>IF(queData[[#This Row],[Responder]]="Sim","Yes",IF(queData[[#This Row],[Responder]]="N/A","Yes","No"))</f>
        <v>Yes</v>
      </c>
      <c r="H193" s="267" t="str">
        <f>IF(G$179="YES", "Advanced","Not Applicable")</f>
        <v>Advanced</v>
      </c>
      <c r="I193" s="231" t="s">
        <v>899</v>
      </c>
      <c r="J193" s="162" t="s">
        <v>982</v>
      </c>
      <c r="K193" s="150">
        <f t="shared" si="14"/>
        <v>1</v>
      </c>
      <c r="L193" s="234" t="str">
        <f t="shared" si="18"/>
        <v/>
      </c>
      <c r="M193" s="235"/>
      <c r="N193" s="237" t="s">
        <v>1205</v>
      </c>
      <c r="O193" s="237"/>
      <c r="P193" s="237" t="s">
        <v>1206</v>
      </c>
      <c r="Q193" s="237" t="s">
        <v>1207</v>
      </c>
      <c r="U193" t="e">
        <f>VLOOKUP(queData[[#This Row],[Code]],RegenAg!$B$52:$C$76,2,0)=1</f>
        <v>#N/A</v>
      </c>
      <c r="Y193">
        <f>IF(AND(References!$B$11,References!$B$12),1,IF(References!$B$11,IF(J193="CSDDD",0,1),IF(References!$B$12,IF(J193="REGEN",0,1),IF(J193="FSA",1,0))))</f>
        <v>1</v>
      </c>
    </row>
    <row r="194" spans="4:25" ht="125" hidden="1">
      <c r="D194" s="231" t="s">
        <v>926</v>
      </c>
      <c r="E194" s="236" t="s">
        <v>927</v>
      </c>
      <c r="F194" s="236" t="str">
        <f>'Checklist 2026'!F22</f>
        <v>Sim</v>
      </c>
      <c r="G194" s="233" t="str">
        <f>IF(queData[[#This Row],[Responder]]="Sim","Yes",IF(queData[[#This Row],[Responder]]="N/A","Yes","No"))</f>
        <v>Yes</v>
      </c>
      <c r="H194" s="265" t="str">
        <f>IF(G$179="YES", "Essential","Not Applicable")</f>
        <v>Essential</v>
      </c>
      <c r="I194" s="231" t="s">
        <v>899</v>
      </c>
      <c r="J194" s="162" t="s">
        <v>982</v>
      </c>
      <c r="K194" s="150">
        <f t="shared" si="14"/>
        <v>1</v>
      </c>
      <c r="L194" s="234" t="str">
        <f t="shared" si="18"/>
        <v/>
      </c>
      <c r="M194" s="235"/>
      <c r="N194" s="237" t="s">
        <v>1208</v>
      </c>
      <c r="O194" s="237"/>
      <c r="P194" s="237" t="s">
        <v>1209</v>
      </c>
      <c r="Q194" s="237" t="s">
        <v>1210</v>
      </c>
      <c r="U194" t="e">
        <f>VLOOKUP(queData[[#This Row],[Code]],RegenAg!$B$52:$C$76,2,0)=1</f>
        <v>#N/A</v>
      </c>
      <c r="Y194">
        <f>IF(AND(References!$B$11,References!$B$12),1,IF(References!$B$11,IF(J194="CSDDD",0,1),IF(References!$B$12,IF(J194="REGEN",0,1),IF(J194="FSA",1,0))))</f>
        <v>1</v>
      </c>
    </row>
    <row r="195" spans="4:25" ht="125" hidden="1">
      <c r="D195" s="231" t="s">
        <v>928</v>
      </c>
      <c r="E195" s="236" t="s">
        <v>929</v>
      </c>
      <c r="F195" s="236" t="str">
        <f>'Checklist 2026'!F21</f>
        <v>Sim</v>
      </c>
      <c r="G195" s="233" t="str">
        <f>IF(queData[[#This Row],[Responder]]="Sim","Yes",IF(queData[[#This Row],[Responder]]="N/A","Yes","No"))</f>
        <v>Yes</v>
      </c>
      <c r="H195" s="265" t="str">
        <f>IF(G$179="YES", "Essential","Not Applicable")</f>
        <v>Essential</v>
      </c>
      <c r="I195" s="231" t="s">
        <v>899</v>
      </c>
      <c r="J195" s="162" t="s">
        <v>982</v>
      </c>
      <c r="K195" s="150">
        <f t="shared" si="14"/>
        <v>1</v>
      </c>
      <c r="L195" s="234" t="str">
        <f t="shared" si="18"/>
        <v/>
      </c>
      <c r="M195" s="235"/>
      <c r="N195" s="237" t="s">
        <v>1211</v>
      </c>
      <c r="O195" s="237"/>
      <c r="P195" s="237" t="s">
        <v>1212</v>
      </c>
      <c r="Q195" s="237" t="s">
        <v>1213</v>
      </c>
      <c r="U195" t="e">
        <f>VLOOKUP(queData[[#This Row],[Code]],RegenAg!$B$52:$C$76,2,0)=1</f>
        <v>#N/A</v>
      </c>
      <c r="Y195">
        <f>IF(AND(References!$B$11,References!$B$12),1,IF(References!$B$11,IF(J195="CSDDD",0,1),IF(References!$B$12,IF(J195="REGEN",0,1),IF(J195="FSA",1,0))))</f>
        <v>1</v>
      </c>
    </row>
    <row r="196" spans="4:25" ht="162.5" hidden="1">
      <c r="D196" s="231" t="s">
        <v>930</v>
      </c>
      <c r="E196" s="236" t="s">
        <v>931</v>
      </c>
      <c r="F196" s="236" t="str">
        <f>'Checklist 2026'!F22</f>
        <v>Sim</v>
      </c>
      <c r="G196" s="233" t="str">
        <f>IF(queData[[#This Row],[Responder]]="Sim","Yes",IF(queData[[#This Row],[Responder]]="N/A","Yes","No"))</f>
        <v>Yes</v>
      </c>
      <c r="H196" s="246" t="str">
        <f>IF(G$179="YES", "Intermediate","Not Applicable")</f>
        <v>Intermediate</v>
      </c>
      <c r="I196" s="231" t="s">
        <v>899</v>
      </c>
      <c r="J196" s="162" t="s">
        <v>982</v>
      </c>
      <c r="K196" s="150">
        <f t="shared" si="14"/>
        <v>1</v>
      </c>
      <c r="L196" s="234" t="str">
        <f t="shared" si="18"/>
        <v>DUE DILIGENCE</v>
      </c>
      <c r="M196" s="235"/>
      <c r="N196" s="237" t="s">
        <v>1214</v>
      </c>
      <c r="O196" s="237"/>
      <c r="P196" s="237" t="s">
        <v>1215</v>
      </c>
      <c r="Q196" s="237" t="s">
        <v>1216</v>
      </c>
      <c r="U196" t="e">
        <f>VLOOKUP(queData[[#This Row],[Code]],RegenAg!$B$52:$C$76,2,0)=1</f>
        <v>#N/A</v>
      </c>
      <c r="X196">
        <v>1</v>
      </c>
      <c r="Y196">
        <f>IF(AND(References!$B$11,References!$B$12),1,IF(References!$B$11,IF(J196="CSDDD",0,1),IF(References!$B$12,IF(J196="REGEN",0,1),IF(J196="FSA",1,0))))</f>
        <v>1</v>
      </c>
    </row>
    <row r="197" spans="4:25" ht="250" hidden="1">
      <c r="D197" s="231" t="s">
        <v>932</v>
      </c>
      <c r="E197" s="236" t="s">
        <v>933</v>
      </c>
      <c r="F197" s="236" t="str">
        <f>'Checklist 2026'!F96</f>
        <v>Sim</v>
      </c>
      <c r="G197" s="233" t="str">
        <f>IF(queData[[#This Row],[Responder]]="Sim","Yes",IF(queData[[#This Row],[Responder]]="N/A","Yes","No"))</f>
        <v>Yes</v>
      </c>
      <c r="H197" s="246" t="str">
        <f>IF(G$179="YES", "Intermediate","Not Applicable")</f>
        <v>Intermediate</v>
      </c>
      <c r="I197" s="231" t="s">
        <v>899</v>
      </c>
      <c r="J197" s="162" t="s">
        <v>982</v>
      </c>
      <c r="K197" s="150">
        <f t="shared" si="14"/>
        <v>1</v>
      </c>
      <c r="L197" s="234" t="str">
        <f t="shared" si="18"/>
        <v>DUE DILIGENCE</v>
      </c>
      <c r="M197" s="235"/>
      <c r="N197" s="237" t="s">
        <v>1217</v>
      </c>
      <c r="O197" s="237"/>
      <c r="P197" s="237" t="s">
        <v>1218</v>
      </c>
      <c r="Q197" s="237" t="s">
        <v>1219</v>
      </c>
      <c r="U197" t="e">
        <f>VLOOKUP(queData[[#This Row],[Code]],RegenAg!$B$52:$C$76,2,0)=1</f>
        <v>#N/A</v>
      </c>
      <c r="X197">
        <v>1</v>
      </c>
      <c r="Y197">
        <f>IF(AND(References!$B$11,References!$B$12),1,IF(References!$B$11,IF(J197="CSDDD",0,1),IF(References!$B$12,IF(J197="REGEN",0,1),IF(J197="FSA",1,0))))</f>
        <v>1</v>
      </c>
    </row>
    <row r="198" spans="4:25" ht="150" hidden="1">
      <c r="D198" s="231" t="s">
        <v>934</v>
      </c>
      <c r="E198" s="236" t="s">
        <v>935</v>
      </c>
      <c r="F198" s="236" t="str">
        <f>'Checklist 2026'!F87</f>
        <v>Sim</v>
      </c>
      <c r="G198" s="233" t="str">
        <f>IF(queData[[#This Row],[Responder]]="Sim","Yes",IF(queData[[#This Row],[Responder]]="N/A","Yes","No"))</f>
        <v>Yes</v>
      </c>
      <c r="H198" s="246" t="str">
        <f>IF(G$179="YES", "Intermediate","Not Applicable")</f>
        <v>Intermediate</v>
      </c>
      <c r="I198" s="231" t="s">
        <v>664</v>
      </c>
      <c r="J198" s="162" t="s">
        <v>982</v>
      </c>
      <c r="K198" s="150">
        <f t="shared" si="14"/>
        <v>1</v>
      </c>
      <c r="L198" s="234" t="str">
        <f t="shared" si="18"/>
        <v/>
      </c>
      <c r="M198" s="235"/>
      <c r="N198" s="237" t="s">
        <v>1220</v>
      </c>
      <c r="O198" s="237" t="s">
        <v>1029</v>
      </c>
      <c r="P198" s="237" t="s">
        <v>1221</v>
      </c>
      <c r="Q198" s="237"/>
      <c r="U198" t="e">
        <f>VLOOKUP(queData[[#This Row],[Code]],RegenAg!$B$52:$C$76,2,0)=1</f>
        <v>#N/A</v>
      </c>
      <c r="Y198">
        <f>IF(AND(References!$B$11,References!$B$12),1,IF(References!$B$11,IF(J198="CSDDD",0,1),IF(References!$B$12,IF(J198="REGEN",0,1),IF(J198="FSA",1,0))))</f>
        <v>1</v>
      </c>
    </row>
    <row r="199" spans="4:25" ht="112.5" hidden="1">
      <c r="D199" s="231" t="s">
        <v>936</v>
      </c>
      <c r="E199" s="236" t="s">
        <v>937</v>
      </c>
      <c r="F199" s="236" t="str">
        <f>'Checklist 2026'!F21</f>
        <v>Sim</v>
      </c>
      <c r="G199" s="233" t="str">
        <f>IF(queData[[#This Row],[Responder]]="Sim","Yes",IF(queData[[#This Row],[Responder]]="N/A","Yes","No"))</f>
        <v>Yes</v>
      </c>
      <c r="H199" s="267" t="str">
        <f>IF(G$179="YES", "Advanced","Not Applicable")</f>
        <v>Advanced</v>
      </c>
      <c r="I199" s="231" t="s">
        <v>664</v>
      </c>
      <c r="J199" s="162" t="s">
        <v>982</v>
      </c>
      <c r="K199" s="150">
        <f t="shared" si="14"/>
        <v>1</v>
      </c>
      <c r="L199" s="234" t="str">
        <f t="shared" si="18"/>
        <v>DUE DILIGENCE</v>
      </c>
      <c r="M199" s="235"/>
      <c r="N199" s="237" t="s">
        <v>1222</v>
      </c>
      <c r="O199" s="237"/>
      <c r="P199" s="237" t="s">
        <v>1223</v>
      </c>
      <c r="Q199" s="237"/>
      <c r="U199" t="e">
        <f>VLOOKUP(queData[[#This Row],[Code]],RegenAg!$B$52:$C$76,2,0)=1</f>
        <v>#N/A</v>
      </c>
      <c r="X199">
        <v>1</v>
      </c>
      <c r="Y199">
        <f>IF(AND(References!$B$11,References!$B$12),1,IF(References!$B$11,IF(J199="CSDDD",0,1),IF(References!$B$12,IF(J199="REGEN",0,1),IF(J199="FSA",1,0))))</f>
        <v>1</v>
      </c>
    </row>
    <row r="200" spans="4:25" ht="18" hidden="1">
      <c r="D200" s="243"/>
      <c r="E200" s="244" t="s">
        <v>1402</v>
      </c>
      <c r="F200" s="244"/>
      <c r="G200" s="278"/>
      <c r="H200" s="243"/>
      <c r="I200" s="243"/>
      <c r="J200" s="162" t="s">
        <v>982</v>
      </c>
      <c r="K200" s="150">
        <f t="shared" si="14"/>
        <v>1</v>
      </c>
      <c r="L200" s="234" t="str">
        <f t="shared" si="18"/>
        <v/>
      </c>
      <c r="M200" s="235"/>
      <c r="N200" s="243"/>
      <c r="O200" s="243"/>
      <c r="P200" s="243"/>
      <c r="Q200" s="243"/>
      <c r="U200" t="e">
        <f>VLOOKUP(queData[[#This Row],[Code]],RegenAg!$B$52:$C$76,2,0)=1</f>
        <v>#N/A</v>
      </c>
      <c r="Y200">
        <f>IF(AND(References!$B$11,References!$B$12),1,IF(References!$B$11,IF(J200="CSDDD",0,1),IF(References!$B$12,IF(J200="REGEN",0,1),IF(J200="FSA",1,0))))</f>
        <v>1</v>
      </c>
    </row>
    <row r="201" spans="4:25" ht="52">
      <c r="D201" s="231"/>
      <c r="E201" s="250" t="s">
        <v>1403</v>
      </c>
      <c r="F201" s="250" t="s">
        <v>1613</v>
      </c>
      <c r="G201" s="233" t="str">
        <f>IF(queData[[#This Row],[Responder]]="Sim","Yes","No")</f>
        <v>No</v>
      </c>
      <c r="H201" s="246" t="str">
        <f>IF(queData[[#This Row],[Answer]]="Yes","",HYPERLINK(References!F$15&amp;"F205","Go to FSA99"))</f>
        <v>Go to FSA99</v>
      </c>
      <c r="I201" s="231" t="s">
        <v>899</v>
      </c>
      <c r="J201" s="162" t="s">
        <v>982</v>
      </c>
      <c r="K201" s="150">
        <f t="shared" si="14"/>
        <v>1</v>
      </c>
      <c r="L201" s="234" t="str">
        <f t="shared" si="18"/>
        <v/>
      </c>
      <c r="M201" s="235"/>
      <c r="N201" s="237"/>
      <c r="O201" s="237"/>
      <c r="P201" s="237"/>
      <c r="Q201" s="237"/>
      <c r="U201" t="e">
        <f>VLOOKUP(queData[[#This Row],[Code]],RegenAg!$B$52:$C$76,2,0)=1</f>
        <v>#N/A</v>
      </c>
      <c r="Y201">
        <f>IF(AND(References!$B$11,References!$B$12),1,IF(References!$B$11,IF(J201="CSDDD",0,1),IF(References!$B$12,IF(J201="REGEN",0,1),IF(J201="FSA",1,0))))</f>
        <v>1</v>
      </c>
    </row>
    <row r="202" spans="4:25" ht="212.5" hidden="1">
      <c r="D202" s="231" t="s">
        <v>938</v>
      </c>
      <c r="E202" s="236" t="s">
        <v>939</v>
      </c>
      <c r="F202" s="236" t="e">
        <f>#REF!</f>
        <v>#REF!</v>
      </c>
      <c r="G202" s="233"/>
      <c r="H202" s="265" t="str">
        <f>IF(G$201="YES", "Essential","Not Applicable")</f>
        <v>Not Applicable</v>
      </c>
      <c r="I202" s="231" t="s">
        <v>899</v>
      </c>
      <c r="J202" s="162" t="s">
        <v>982</v>
      </c>
      <c r="K202" s="150">
        <f t="shared" si="14"/>
        <v>1</v>
      </c>
      <c r="L202" s="234" t="str">
        <f t="shared" si="18"/>
        <v/>
      </c>
      <c r="M202" s="235"/>
      <c r="N202" s="237" t="s">
        <v>1224</v>
      </c>
      <c r="O202" s="237"/>
      <c r="P202" s="237" t="s">
        <v>1225</v>
      </c>
      <c r="Q202" s="237" t="s">
        <v>1226</v>
      </c>
      <c r="U202" t="e">
        <f>VLOOKUP(queData[[#This Row],[Code]],RegenAg!$B$52:$C$76,2,0)=1</f>
        <v>#N/A</v>
      </c>
      <c r="Y202">
        <f>IF(AND(References!$B$11,References!$B$12),1,IF(References!$B$11,IF(J202="CSDDD",0,1),IF(References!$B$12,IF(J202="REGEN",0,1),IF(J202="FSA",1,0))))</f>
        <v>1</v>
      </c>
    </row>
    <row r="203" spans="4:25" ht="200" hidden="1">
      <c r="D203" s="231" t="s">
        <v>940</v>
      </c>
      <c r="E203" s="236" t="s">
        <v>941</v>
      </c>
      <c r="F203" s="236" t="e">
        <f>#REF!</f>
        <v>#REF!</v>
      </c>
      <c r="G203" s="233"/>
      <c r="H203" s="265" t="str">
        <f>IF(G$201="YES", "Essential","Not Applicable")</f>
        <v>Not Applicable</v>
      </c>
      <c r="I203" s="231" t="s">
        <v>899</v>
      </c>
      <c r="J203" s="162" t="s">
        <v>982</v>
      </c>
      <c r="K203" s="150">
        <f t="shared" si="14"/>
        <v>1</v>
      </c>
      <c r="L203" s="234" t="str">
        <f t="shared" si="18"/>
        <v/>
      </c>
      <c r="M203" s="235"/>
      <c r="N203" s="237" t="s">
        <v>1227</v>
      </c>
      <c r="O203" s="237"/>
      <c r="P203" s="237" t="s">
        <v>1228</v>
      </c>
      <c r="Q203" s="237" t="s">
        <v>1229</v>
      </c>
      <c r="U203" t="e">
        <f>VLOOKUP(queData[[#This Row],[Code]],RegenAg!$B$52:$C$76,2,0)=1</f>
        <v>#N/A</v>
      </c>
      <c r="Y203">
        <f>IF(AND(References!$B$11,References!$B$12),1,IF(References!$B$11,IF(J203="CSDDD",0,1),IF(References!$B$12,IF(J203="REGEN",0,1),IF(J203="FSA",1,0))))</f>
        <v>1</v>
      </c>
    </row>
    <row r="204" spans="4:25" ht="50" hidden="1">
      <c r="D204" s="231" t="s">
        <v>942</v>
      </c>
      <c r="E204" s="236" t="s">
        <v>943</v>
      </c>
      <c r="F204" s="236" t="e">
        <f>#REF!</f>
        <v>#REF!</v>
      </c>
      <c r="G204" s="233"/>
      <c r="H204" s="246" t="str">
        <f>IF(G$201="YES", "Intermediate","Not Applicable")</f>
        <v>Not Applicable</v>
      </c>
      <c r="I204" s="231" t="s">
        <v>899</v>
      </c>
      <c r="J204" s="162" t="s">
        <v>982</v>
      </c>
      <c r="K204" s="150">
        <f t="shared" si="14"/>
        <v>1</v>
      </c>
      <c r="L204" s="234" t="str">
        <f t="shared" si="18"/>
        <v/>
      </c>
      <c r="M204" s="235"/>
      <c r="N204" s="237" t="s">
        <v>1230</v>
      </c>
      <c r="O204" s="237"/>
      <c r="P204" s="237" t="s">
        <v>1231</v>
      </c>
      <c r="Q204" s="237"/>
      <c r="U204" t="e">
        <f>VLOOKUP(queData[[#This Row],[Code]],RegenAg!$B$52:$C$76,2,0)=1</f>
        <v>#N/A</v>
      </c>
      <c r="Y204">
        <f>IF(AND(References!$B$11,References!$B$12),1,IF(References!$B$11,IF(J204="CSDDD",0,1),IF(References!$B$12,IF(J204="REGEN",0,1),IF(J204="FSA",1,0))))</f>
        <v>1</v>
      </c>
    </row>
    <row r="205" spans="4:25" ht="25" hidden="1">
      <c r="D205" s="231"/>
      <c r="E205" s="244" t="s">
        <v>1404</v>
      </c>
      <c r="F205" s="244"/>
      <c r="G205" s="278"/>
      <c r="H205" s="243"/>
      <c r="I205" s="231" t="s">
        <v>899</v>
      </c>
      <c r="J205" s="162" t="s">
        <v>982</v>
      </c>
      <c r="K205" s="150">
        <f t="shared" si="14"/>
        <v>1</v>
      </c>
      <c r="L205" s="234" t="str">
        <f t="shared" si="18"/>
        <v/>
      </c>
      <c r="M205" s="235"/>
      <c r="N205" s="237"/>
      <c r="O205" s="237"/>
      <c r="P205" s="237"/>
      <c r="Q205" s="237"/>
      <c r="U205" t="e">
        <f>VLOOKUP(queData[[#This Row],[Code]],RegenAg!$B$52:$C$76,2,0)=1</f>
        <v>#N/A</v>
      </c>
      <c r="Y205">
        <f>IF(AND(References!$B$11,References!$B$12),1,IF(References!$B$11,IF(J205="CSDDD",0,1),IF(References!$B$12,IF(J205="REGEN",0,1),IF(J205="FSA",1,0))))</f>
        <v>1</v>
      </c>
    </row>
    <row r="206" spans="4:25" ht="52" hidden="1">
      <c r="D206" s="231"/>
      <c r="E206" s="250" t="s">
        <v>1415</v>
      </c>
      <c r="F206" s="250" t="str">
        <f>IF('Checklist 2026'!F6&lt;&gt;0,"Sim","Não")</f>
        <v>Sim</v>
      </c>
      <c r="G206" s="233" t="str">
        <f>IF(queData[[#This Row],[Responder]]="Sim","Yes","No")</f>
        <v>Yes</v>
      </c>
      <c r="H206" s="246" t="str">
        <f>IF(queData[[#This Row],[Answer]]="Yes","",HYPERLINK(References!F$15&amp;"F213","Go to FSA105"))</f>
        <v/>
      </c>
      <c r="I206" s="231" t="s">
        <v>899</v>
      </c>
      <c r="J206" s="162" t="s">
        <v>982</v>
      </c>
      <c r="K206" s="150">
        <f t="shared" si="14"/>
        <v>1</v>
      </c>
      <c r="L206" s="234" t="str">
        <f t="shared" si="18"/>
        <v/>
      </c>
      <c r="M206" s="235"/>
      <c r="N206" s="237"/>
      <c r="O206" s="237"/>
      <c r="P206" s="237"/>
      <c r="Q206" s="237"/>
      <c r="U206" t="e">
        <f>VLOOKUP(queData[[#This Row],[Code]],RegenAg!$B$52:$C$76,2,0)=1</f>
        <v>#N/A</v>
      </c>
      <c r="Y206">
        <f>IF(AND(References!$B$11,References!$B$12),1,IF(References!$B$11,IF(J206="CSDDD",0,1),IF(References!$B$12,IF(J206="REGEN",0,1),IF(J206="FSA",1,0))))</f>
        <v>1</v>
      </c>
    </row>
    <row r="207" spans="4:25" ht="125" hidden="1">
      <c r="D207" s="231" t="s">
        <v>944</v>
      </c>
      <c r="E207" s="236" t="s">
        <v>945</v>
      </c>
      <c r="F207" s="236" t="str">
        <f>'Checklist 2026'!F23</f>
        <v>Sim</v>
      </c>
      <c r="G207" s="233" t="str">
        <f>IF(queData[[#This Row],[Responder]]="Sim","Yes",IF(queData[[#This Row],[Responder]]="N/A","Yes","No"))</f>
        <v>Yes</v>
      </c>
      <c r="H207" s="265" t="str">
        <f>IF(G$206="YES", "Essential","Not Applicable")</f>
        <v>Essential</v>
      </c>
      <c r="I207" s="231" t="s">
        <v>899</v>
      </c>
      <c r="J207" s="162" t="s">
        <v>982</v>
      </c>
      <c r="K207" s="150">
        <f t="shared" si="14"/>
        <v>1</v>
      </c>
      <c r="L207" s="234" t="str">
        <f t="shared" si="18"/>
        <v/>
      </c>
      <c r="M207" s="235"/>
      <c r="N207" s="237" t="s">
        <v>1232</v>
      </c>
      <c r="O207" s="237" t="s">
        <v>1029</v>
      </c>
      <c r="P207" s="237" t="s">
        <v>1233</v>
      </c>
      <c r="Q207" s="237" t="s">
        <v>1234</v>
      </c>
      <c r="R207" s="119"/>
      <c r="S207" s="119"/>
      <c r="U207" t="e">
        <f>VLOOKUP(queData[[#This Row],[Code]],RegenAg!$B$52:$C$76,2,0)=1</f>
        <v>#N/A</v>
      </c>
      <c r="Y207">
        <f>IF(AND(References!$B$11,References!$B$12),1,IF(References!$B$11,IF(J207="CSDDD",0,1),IF(References!$B$12,IF(J207="REGEN",0,1),IF(J207="FSA",1,0))))</f>
        <v>1</v>
      </c>
    </row>
    <row r="208" spans="4:25" ht="200" hidden="1">
      <c r="D208" s="231" t="s">
        <v>946</v>
      </c>
      <c r="E208" s="236" t="s">
        <v>947</v>
      </c>
      <c r="F208" s="236" t="str">
        <f>IF(AND('Checklist 2026'!F87&lt;&gt;"Não",'Checklist 2026'!F53&lt;&gt;"Não"),"Sim","Não")</f>
        <v>Sim</v>
      </c>
      <c r="G208" s="233" t="str">
        <f>IF(queData[[#This Row],[Responder]]="Sim","Yes",IF(queData[[#This Row],[Responder]]="N/A","Yes","No"))</f>
        <v>Yes</v>
      </c>
      <c r="H208" s="246" t="str">
        <f>IF(G$206="YES", "Intermediate","Not Applicable")</f>
        <v>Intermediate</v>
      </c>
      <c r="I208" s="231" t="s">
        <v>899</v>
      </c>
      <c r="J208" s="162" t="s">
        <v>982</v>
      </c>
      <c r="K208" s="150">
        <f t="shared" ref="K208:K229" si="19">Y208</f>
        <v>1</v>
      </c>
      <c r="L208" s="234" t="str">
        <f t="shared" si="18"/>
        <v/>
      </c>
      <c r="M208" s="235"/>
      <c r="N208" s="237" t="s">
        <v>1235</v>
      </c>
      <c r="O208" s="237"/>
      <c r="P208" s="237" t="s">
        <v>1236</v>
      </c>
      <c r="Q208" s="237" t="s">
        <v>1237</v>
      </c>
      <c r="U208" t="e">
        <f>VLOOKUP(queData[[#This Row],[Code]],RegenAg!$B$52:$C$76,2,0)=1</f>
        <v>#N/A</v>
      </c>
      <c r="Y208">
        <f>IF(AND(References!$B$11,References!$B$12),1,IF(References!$B$11,IF(J208="CSDDD",0,1),IF(References!$B$12,IF(J208="REGEN",0,1),IF(J208="FSA",1,0))))</f>
        <v>1</v>
      </c>
    </row>
    <row r="209" spans="4:25" ht="75" hidden="1">
      <c r="D209" s="231" t="s">
        <v>948</v>
      </c>
      <c r="E209" s="236" t="s">
        <v>949</v>
      </c>
      <c r="F209" s="236" t="str">
        <f>IF('Checklist 2026'!F41="Sim",IF('Checklist 2026'!F36="Sim","Sim","Não"))</f>
        <v>Sim</v>
      </c>
      <c r="G209" s="233" t="str">
        <f>IF(queData[[#This Row],[Responder]]="Sim","Yes",IF(queData[[#This Row],[Responder]]="N/A","Yes","No"))</f>
        <v>Yes</v>
      </c>
      <c r="H209" s="246" t="str">
        <f>IF(G$206="YES", "Intermediate","Not Applicable")</f>
        <v>Intermediate</v>
      </c>
      <c r="I209" s="231" t="s">
        <v>899</v>
      </c>
      <c r="J209" s="162" t="s">
        <v>982</v>
      </c>
      <c r="K209" s="150">
        <f t="shared" si="19"/>
        <v>1</v>
      </c>
      <c r="L209" s="234" t="str">
        <f t="shared" si="18"/>
        <v/>
      </c>
      <c r="M209" s="235"/>
      <c r="N209" s="237" t="s">
        <v>1238</v>
      </c>
      <c r="O209" s="237" t="s">
        <v>1029</v>
      </c>
      <c r="P209" s="237" t="s">
        <v>1239</v>
      </c>
      <c r="Q209" s="237" t="s">
        <v>1240</v>
      </c>
      <c r="U209" t="e">
        <f>VLOOKUP(queData[[#This Row],[Code]],RegenAg!$B$52:$C$76,2,0)=1</f>
        <v>#N/A</v>
      </c>
      <c r="Y209">
        <f>IF(AND(References!$B$11,References!$B$12),1,IF(References!$B$11,IF(J209="CSDDD",0,1),IF(References!$B$12,IF(J209="REGEN",0,1),IF(J209="FSA",1,0))))</f>
        <v>1</v>
      </c>
    </row>
    <row r="210" spans="4:25" ht="62.5" hidden="1">
      <c r="D210" s="231" t="s">
        <v>950</v>
      </c>
      <c r="E210" s="236" t="s">
        <v>951</v>
      </c>
      <c r="F210" s="236" t="str">
        <f>'Checklist 2026'!F21</f>
        <v>Sim</v>
      </c>
      <c r="G210" s="233" t="str">
        <f>IF(queData[[#This Row],[Responder]]="Sim","Yes",IF(queData[[#This Row],[Responder]]="N/A","Yes","No"))</f>
        <v>Yes</v>
      </c>
      <c r="H210" s="246" t="str">
        <f>IF(G$206="YES", "Intermediate","Not Applicable")</f>
        <v>Intermediate</v>
      </c>
      <c r="I210" s="231" t="s">
        <v>899</v>
      </c>
      <c r="J210" s="162" t="s">
        <v>982</v>
      </c>
      <c r="K210" s="150">
        <f t="shared" si="19"/>
        <v>1</v>
      </c>
      <c r="L210" s="234" t="str">
        <f t="shared" si="18"/>
        <v/>
      </c>
      <c r="M210" s="235"/>
      <c r="N210" s="237" t="s">
        <v>1241</v>
      </c>
      <c r="O210" s="237"/>
      <c r="P210" s="237"/>
      <c r="Q210" s="237"/>
      <c r="U210" t="e">
        <f>VLOOKUP(queData[[#This Row],[Code]],RegenAg!$B$52:$C$76,2,0)=1</f>
        <v>#N/A</v>
      </c>
      <c r="Y210">
        <f>IF(AND(References!$B$11,References!$B$12),1,IF(References!$B$11,IF(J210="CSDDD",0,1),IF(References!$B$12,IF(J210="REGEN",0,1),IF(J210="FSA",1,0))))</f>
        <v>1</v>
      </c>
    </row>
    <row r="211" spans="4:25" ht="50" hidden="1">
      <c r="D211" s="231" t="s">
        <v>952</v>
      </c>
      <c r="E211" s="236" t="s">
        <v>953</v>
      </c>
      <c r="F211" s="236" t="str">
        <f>'Checklist 2026'!F21</f>
        <v>Sim</v>
      </c>
      <c r="G211" s="233" t="str">
        <f>IF(queData[[#This Row],[Responder]]="Sim","Yes",IF(queData[[#This Row],[Responder]]="N/A","Yes","No"))</f>
        <v>Yes</v>
      </c>
      <c r="H211" s="246" t="str">
        <f>IF(G$206="YES", "Intermediate","Not Applicable")</f>
        <v>Intermediate</v>
      </c>
      <c r="I211" s="231" t="s">
        <v>899</v>
      </c>
      <c r="J211" s="162" t="s">
        <v>982</v>
      </c>
      <c r="K211" s="150">
        <f t="shared" si="19"/>
        <v>1</v>
      </c>
      <c r="L211" s="234" t="str">
        <f t="shared" si="18"/>
        <v/>
      </c>
      <c r="M211" s="235"/>
      <c r="N211" s="237" t="s">
        <v>1242</v>
      </c>
      <c r="O211" s="237" t="s">
        <v>996</v>
      </c>
      <c r="P211" s="237" t="s">
        <v>1243</v>
      </c>
      <c r="Q211" s="237"/>
      <c r="U211" t="e">
        <f>VLOOKUP(queData[[#This Row],[Code]],RegenAg!$B$52:$C$76,2,0)=1</f>
        <v>#N/A</v>
      </c>
      <c r="Y211">
        <f>IF(AND(References!$B$11,References!$B$12),1,IF(References!$B$11,IF(J211="CSDDD",0,1),IF(References!$B$12,IF(J211="REGEN",0,1),IF(J211="FSA",1,0))))</f>
        <v>1</v>
      </c>
    </row>
    <row r="212" spans="4:25" ht="175" hidden="1">
      <c r="D212" s="231" t="s">
        <v>954</v>
      </c>
      <c r="E212" s="236" t="s">
        <v>955</v>
      </c>
      <c r="F212" s="236" t="str">
        <f>'Checklist 2026'!F52</f>
        <v>Sim</v>
      </c>
      <c r="G212" s="233" t="str">
        <f>IF(queData[[#This Row],[Responder]]="Sim","Yes",IF(queData[[#This Row],[Responder]]="N/A","Yes","No"))</f>
        <v>Yes</v>
      </c>
      <c r="H212" s="267" t="str">
        <f>IF(G$206="YES", "Advanced","Not Applicable")</f>
        <v>Advanced</v>
      </c>
      <c r="I212" s="231" t="s">
        <v>899</v>
      </c>
      <c r="J212" s="162" t="s">
        <v>982</v>
      </c>
      <c r="K212" s="150">
        <f t="shared" si="19"/>
        <v>1</v>
      </c>
      <c r="L212" s="234" t="str">
        <f t="shared" si="18"/>
        <v/>
      </c>
      <c r="M212" s="235"/>
      <c r="N212" s="237" t="s">
        <v>1244</v>
      </c>
      <c r="O212" s="237"/>
      <c r="P212" s="237" t="s">
        <v>1245</v>
      </c>
      <c r="Q212" s="237"/>
      <c r="U212" t="e">
        <f>VLOOKUP(queData[[#This Row],[Code]],RegenAg!$B$52:$C$76,2,0)=1</f>
        <v>#N/A</v>
      </c>
      <c r="Y212">
        <f>IF(AND(References!$B$11,References!$B$12),1,IF(References!$B$11,IF(J212="CSDDD",0,1),IF(References!$B$12,IF(J212="REGEN",0,1),IF(J212="FSA",1,0))))</f>
        <v>1</v>
      </c>
    </row>
    <row r="213" spans="4:25" ht="25" hidden="1">
      <c r="D213" s="231"/>
      <c r="E213" s="244" t="s">
        <v>1405</v>
      </c>
      <c r="F213" s="244"/>
      <c r="G213" s="278"/>
      <c r="H213" s="243"/>
      <c r="I213" s="231" t="s">
        <v>899</v>
      </c>
      <c r="J213" s="162" t="s">
        <v>982</v>
      </c>
      <c r="K213" s="150">
        <f t="shared" si="19"/>
        <v>1</v>
      </c>
      <c r="L213" s="234" t="str">
        <f t="shared" si="18"/>
        <v/>
      </c>
      <c r="M213" s="235"/>
      <c r="N213" s="237"/>
      <c r="O213" s="237"/>
      <c r="P213" s="237"/>
      <c r="Q213" s="237"/>
      <c r="U213" t="e">
        <f>VLOOKUP(queData[[#This Row],[Code]],RegenAg!$B$52:$C$76,2,0)=1</f>
        <v>#N/A</v>
      </c>
      <c r="Y213">
        <f>IF(AND(References!$B$11,References!$B$12),1,IF(References!$B$11,IF(J213="CSDDD",0,1),IF(References!$B$12,IF(J213="REGEN",0,1),IF(J213="FSA",1,0))))</f>
        <v>1</v>
      </c>
    </row>
    <row r="214" spans="4:25" ht="100" hidden="1">
      <c r="D214" s="231" t="s">
        <v>956</v>
      </c>
      <c r="E214" s="236" t="s">
        <v>957</v>
      </c>
      <c r="F214" s="236" t="str">
        <f>'Checklist 2026'!F40</f>
        <v>Sim</v>
      </c>
      <c r="G214" s="233" t="str">
        <f>IF(queData[[#This Row],[Responder]]="Sim","Yes",IF(queData[[#This Row],[Responder]]="N/A","Yes","No"))</f>
        <v>Yes</v>
      </c>
      <c r="H214" s="265" t="s">
        <v>663</v>
      </c>
      <c r="I214" s="231" t="s">
        <v>899</v>
      </c>
      <c r="J214" s="162" t="s">
        <v>982</v>
      </c>
      <c r="K214" s="150">
        <f t="shared" si="19"/>
        <v>1</v>
      </c>
      <c r="L214" s="234" t="str">
        <f t="shared" si="18"/>
        <v/>
      </c>
      <c r="M214" s="235"/>
      <c r="N214" s="237" t="s">
        <v>1246</v>
      </c>
      <c r="O214" s="237" t="s">
        <v>1247</v>
      </c>
      <c r="P214" s="237" t="s">
        <v>1248</v>
      </c>
      <c r="Q214" s="237" t="s">
        <v>1237</v>
      </c>
      <c r="U214" t="e">
        <f>VLOOKUP(queData[[#This Row],[Code]],RegenAg!$B$52:$C$76,2,0)=1</f>
        <v>#N/A</v>
      </c>
      <c r="Y214">
        <f>IF(AND(References!$B$11,References!$B$12),1,IF(References!$B$11,IF(J214="CSDDD",0,1),IF(References!$B$12,IF(J214="REGEN",0,1),IF(J214="FSA",1,0))))</f>
        <v>1</v>
      </c>
    </row>
    <row r="215" spans="4:25" ht="137.5" hidden="1">
      <c r="D215" s="231" t="s">
        <v>958</v>
      </c>
      <c r="E215" s="236" t="s">
        <v>959</v>
      </c>
      <c r="F215" s="236" t="str">
        <f>'Checklist 2026'!F23</f>
        <v>Sim</v>
      </c>
      <c r="G215" s="233" t="str">
        <f>IF(queData[[#This Row],[Responder]]="Sim","Yes",IF(queData[[#This Row],[Responder]]="N/A","Yes","No"))</f>
        <v>Yes</v>
      </c>
      <c r="H215" s="265" t="s">
        <v>663</v>
      </c>
      <c r="I215" s="231" t="s">
        <v>899</v>
      </c>
      <c r="J215" s="162" t="s">
        <v>982</v>
      </c>
      <c r="K215" s="150">
        <f t="shared" si="19"/>
        <v>1</v>
      </c>
      <c r="L215" s="234" t="str">
        <f t="shared" si="18"/>
        <v/>
      </c>
      <c r="M215" s="235"/>
      <c r="N215" s="237" t="s">
        <v>1249</v>
      </c>
      <c r="O215" s="237"/>
      <c r="P215" s="237" t="s">
        <v>1250</v>
      </c>
      <c r="Q215" s="237" t="s">
        <v>1251</v>
      </c>
      <c r="U215" t="e">
        <f>VLOOKUP(queData[[#This Row],[Code]],RegenAg!$B$52:$C$76,2,0)=1</f>
        <v>#N/A</v>
      </c>
      <c r="Y215">
        <f>IF(AND(References!$B$11,References!$B$12),1,IF(References!$B$11,IF(J215="CSDDD",0,1),IF(References!$B$12,IF(J215="REGEN",0,1),IF(J215="FSA",1,0))))</f>
        <v>1</v>
      </c>
    </row>
    <row r="216" spans="4:25" ht="250" hidden="1">
      <c r="D216" s="231" t="s">
        <v>960</v>
      </c>
      <c r="E216" s="236" t="s">
        <v>961</v>
      </c>
      <c r="F216" s="236" t="str">
        <f>IF(AND('Checklist 2026'!F30&lt;&gt;"Não",'Checklist 2026'!F31&lt;&gt;"Não"),"Sim","Não")</f>
        <v>Sim</v>
      </c>
      <c r="G216" s="233" t="str">
        <f>IF(queData[[#This Row],[Responder]]="Sim","Yes",IF(queData[[#This Row],[Responder]]="N/A","Yes","No"))</f>
        <v>Yes</v>
      </c>
      <c r="H216" s="265" t="s">
        <v>663</v>
      </c>
      <c r="I216" s="231" t="s">
        <v>899</v>
      </c>
      <c r="J216" s="162" t="s">
        <v>982</v>
      </c>
      <c r="K216" s="150">
        <f t="shared" si="19"/>
        <v>1</v>
      </c>
      <c r="L216" s="234" t="str">
        <f t="shared" si="18"/>
        <v/>
      </c>
      <c r="M216" s="235"/>
      <c r="N216" s="237" t="s">
        <v>1252</v>
      </c>
      <c r="O216" s="237" t="s">
        <v>1127</v>
      </c>
      <c r="P216" s="237" t="s">
        <v>1253</v>
      </c>
      <c r="Q216" s="237" t="s">
        <v>1254</v>
      </c>
      <c r="U216" t="e">
        <f>VLOOKUP(queData[[#This Row],[Code]],RegenAg!$B$52:$C$76,2,0)=1</f>
        <v>#N/A</v>
      </c>
      <c r="Y216">
        <f>IF(AND(References!$B$11,References!$B$12),1,IF(References!$B$11,IF(J216="CSDDD",0,1),IF(References!$B$12,IF(J216="REGEN",0,1),IF(J216="FSA",1,0))))</f>
        <v>1</v>
      </c>
    </row>
    <row r="217" spans="4:25" ht="409.5">
      <c r="D217" s="231" t="s">
        <v>962</v>
      </c>
      <c r="E217" s="236" t="s">
        <v>963</v>
      </c>
      <c r="F217" s="236" t="str">
        <f>'Checklist 2026'!F45</f>
        <v>Sim</v>
      </c>
      <c r="G217" s="233" t="str">
        <f>IF(queData[[#This Row],[Responder]]="Sim","Yes",IF(queData[[#This Row],[Responder]]="N/A","Yes","No"))</f>
        <v>Yes</v>
      </c>
      <c r="H217" s="265" t="s">
        <v>663</v>
      </c>
      <c r="I217" s="231" t="s">
        <v>899</v>
      </c>
      <c r="J217" s="162" t="s">
        <v>982</v>
      </c>
      <c r="K217" s="150">
        <f t="shared" si="19"/>
        <v>1</v>
      </c>
      <c r="L217" s="234" t="str">
        <f t="shared" si="18"/>
        <v/>
      </c>
      <c r="M217" s="235"/>
      <c r="N217" s="237" t="s">
        <v>1255</v>
      </c>
      <c r="O217" s="237"/>
      <c r="P217" s="237" t="s">
        <v>1256</v>
      </c>
      <c r="Q217" s="237" t="s">
        <v>1257</v>
      </c>
      <c r="U217" t="e">
        <f>VLOOKUP(queData[[#This Row],[Code]],RegenAg!$B$52:$C$76,2,0)=1</f>
        <v>#N/A</v>
      </c>
      <c r="Y217">
        <f>IF(AND(References!$B$11,References!$B$12),1,IF(References!$B$11,IF(J217="CSDDD",0,1),IF(References!$B$12,IF(J217="REGEN",0,1),IF(J217="FSA",1,0))))</f>
        <v>1</v>
      </c>
    </row>
    <row r="218" spans="4:25" ht="87.5" hidden="1">
      <c r="D218" s="231" t="s">
        <v>964</v>
      </c>
      <c r="E218" s="236" t="s">
        <v>965</v>
      </c>
      <c r="F218" s="236" t="str">
        <f>'Checklist 2026'!F23</f>
        <v>Sim</v>
      </c>
      <c r="G218" s="233" t="str">
        <f>IF(queData[[#This Row],[Responder]]="Sim","Yes",IF(queData[[#This Row],[Responder]]="N/A","Yes","No"))</f>
        <v>Yes</v>
      </c>
      <c r="H218" s="246" t="s">
        <v>1293</v>
      </c>
      <c r="I218" s="231" t="s">
        <v>899</v>
      </c>
      <c r="J218" s="162" t="s">
        <v>982</v>
      </c>
      <c r="K218" s="150">
        <f t="shared" si="19"/>
        <v>1</v>
      </c>
      <c r="L218" s="234" t="str">
        <f t="shared" si="18"/>
        <v/>
      </c>
      <c r="M218" s="235"/>
      <c r="N218" s="237" t="s">
        <v>1258</v>
      </c>
      <c r="O218" s="237" t="s">
        <v>996</v>
      </c>
      <c r="P218" s="237" t="s">
        <v>1259</v>
      </c>
      <c r="Q218" s="237"/>
      <c r="U218" t="e">
        <f>VLOOKUP(queData[[#This Row],[Code]],RegenAg!$B$52:$C$76,2,0)=1</f>
        <v>#N/A</v>
      </c>
      <c r="Y218">
        <f>IF(AND(References!$B$11,References!$B$12),1,IF(References!$B$11,IF(J218="CSDDD",0,1),IF(References!$B$12,IF(J218="REGEN",0,1),IF(J218="FSA",1,0))))</f>
        <v>1</v>
      </c>
    </row>
    <row r="219" spans="4:25" ht="75" hidden="1">
      <c r="D219" s="231" t="s">
        <v>1594</v>
      </c>
      <c r="E219" s="236" t="s">
        <v>966</v>
      </c>
      <c r="F219" s="236" t="str">
        <f>'Checklist 2026'!F21</f>
        <v>Sim</v>
      </c>
      <c r="G219" s="233" t="str">
        <f>IF(queData[[#This Row],[Responder]]="Sim","Yes",IF(queData[[#This Row],[Responder]]="N/A","Yes","No"))</f>
        <v>Yes</v>
      </c>
      <c r="H219" s="266"/>
      <c r="I219" s="231" t="s">
        <v>899</v>
      </c>
      <c r="J219" s="162" t="s">
        <v>0</v>
      </c>
      <c r="K219" s="150">
        <f t="shared" si="19"/>
        <v>1</v>
      </c>
      <c r="L219" s="234" t="str">
        <f t="shared" si="18"/>
        <v>DUE DILIGENCE</v>
      </c>
      <c r="M219" s="235"/>
      <c r="N219" s="237" t="s">
        <v>1260</v>
      </c>
      <c r="O219" s="237" t="s">
        <v>1044</v>
      </c>
      <c r="P219" s="237"/>
      <c r="Q219" s="237"/>
      <c r="U219" t="e">
        <f>VLOOKUP(queData[[#This Row],[Code]],RegenAg!$B$52:$C$76,2,0)=1</f>
        <v>#N/A</v>
      </c>
      <c r="X219">
        <v>1</v>
      </c>
      <c r="Y219">
        <f>IF(AND(References!$B$11,References!$B$12),1,IF(References!$B$11,IF(J219="CSDDD",0,1),IF(References!$B$12,IF(J219="REGEN",0,1),IF(J219="FSA",1,0))))</f>
        <v>1</v>
      </c>
    </row>
    <row r="220" spans="4:25" ht="37.5" hidden="1">
      <c r="D220" s="231" t="s">
        <v>1595</v>
      </c>
      <c r="E220" s="236" t="s">
        <v>967</v>
      </c>
      <c r="F220" s="236" t="str">
        <f>'Checklist 2026'!F21</f>
        <v>Sim</v>
      </c>
      <c r="G220" s="233" t="str">
        <f>IF(queData[[#This Row],[Responder]]="Sim","Yes",IF(queData[[#This Row],[Responder]]="N/A","Yes","No"))</f>
        <v>Yes</v>
      </c>
      <c r="H220" s="266"/>
      <c r="I220" s="231" t="s">
        <v>899</v>
      </c>
      <c r="J220" s="162" t="s">
        <v>0</v>
      </c>
      <c r="K220" s="150">
        <f t="shared" si="19"/>
        <v>1</v>
      </c>
      <c r="L220" s="234" t="str">
        <f t="shared" si="18"/>
        <v>DUE DILIGENCE</v>
      </c>
      <c r="M220" s="235"/>
      <c r="N220" s="237" t="s">
        <v>1261</v>
      </c>
      <c r="O220" s="237" t="s">
        <v>996</v>
      </c>
      <c r="P220" s="237"/>
      <c r="Q220" s="237"/>
      <c r="U220" t="e">
        <f>VLOOKUP(queData[[#This Row],[Code]],RegenAg!$B$52:$C$76,2,0)=1</f>
        <v>#N/A</v>
      </c>
      <c r="X220">
        <v>1</v>
      </c>
      <c r="Y220">
        <f>IF(AND(References!$B$11,References!$B$12),1,IF(References!$B$11,IF(J220="CSDDD",0,1),IF(References!$B$12,IF(J220="REGEN",0,1),IF(J220="FSA",1,0))))</f>
        <v>1</v>
      </c>
    </row>
    <row r="221" spans="4:25" ht="25" hidden="1">
      <c r="D221" s="231" t="s">
        <v>1596</v>
      </c>
      <c r="E221" s="236" t="s">
        <v>968</v>
      </c>
      <c r="F221" s="236" t="str">
        <f>'Checklist 2026'!F20</f>
        <v>Sim</v>
      </c>
      <c r="G221" s="233" t="str">
        <f>IF(queData[[#This Row],[Responder]]="Sim","Yes",IF(queData[[#This Row],[Responder]]="N/A","Yes","No"))</f>
        <v>Yes</v>
      </c>
      <c r="H221" s="266"/>
      <c r="I221" s="231" t="s">
        <v>899</v>
      </c>
      <c r="J221" s="162" t="s">
        <v>0</v>
      </c>
      <c r="K221" s="150">
        <f t="shared" si="19"/>
        <v>1</v>
      </c>
      <c r="L221" s="234" t="str">
        <f t="shared" si="18"/>
        <v>DUE DILIGENCE</v>
      </c>
      <c r="M221" s="235"/>
      <c r="N221" s="237" t="s">
        <v>1262</v>
      </c>
      <c r="O221" s="237"/>
      <c r="P221" s="237"/>
      <c r="Q221" s="237"/>
      <c r="U221" t="e">
        <f>VLOOKUP(queData[[#This Row],[Code]],RegenAg!$B$52:$C$76,2,0)=1</f>
        <v>#N/A</v>
      </c>
      <c r="X221">
        <v>1</v>
      </c>
      <c r="Y221">
        <f>IF(AND(References!$B$11,References!$B$12),1,IF(References!$B$11,IF(J221="CSDDD",0,1),IF(References!$B$12,IF(J221="REGEN",0,1),IF(J221="FSA",1,0))))</f>
        <v>1</v>
      </c>
    </row>
    <row r="222" spans="4:25" ht="125" hidden="1">
      <c r="D222" s="231" t="s">
        <v>1597</v>
      </c>
      <c r="E222" s="236" t="s">
        <v>969</v>
      </c>
      <c r="F222" s="236" t="str">
        <f>'Checklist 2026'!F21</f>
        <v>Sim</v>
      </c>
      <c r="G222" s="233" t="str">
        <f>IF(queData[[#This Row],[Responder]]="Sim","Yes",IF(queData[[#This Row],[Responder]]="N/A","Yes","No"))</f>
        <v>Yes</v>
      </c>
      <c r="H222" s="266"/>
      <c r="I222" s="231" t="s">
        <v>899</v>
      </c>
      <c r="J222" s="162" t="s">
        <v>0</v>
      </c>
      <c r="K222" s="150">
        <f t="shared" si="19"/>
        <v>1</v>
      </c>
      <c r="L222" s="234" t="str">
        <f t="shared" si="18"/>
        <v>DUE DILIGENCE</v>
      </c>
      <c r="M222" s="235"/>
      <c r="N222" s="237" t="s">
        <v>1263</v>
      </c>
      <c r="O222" s="237"/>
      <c r="P222" s="237" t="s">
        <v>1264</v>
      </c>
      <c r="Q222" s="237" t="s">
        <v>1265</v>
      </c>
      <c r="U222" t="e">
        <f>VLOOKUP(queData[[#This Row],[Code]],RegenAg!$B$52:$C$76,2,0)=1</f>
        <v>#N/A</v>
      </c>
      <c r="X222">
        <v>1</v>
      </c>
      <c r="Y222">
        <f>IF(AND(References!$B$11,References!$B$12),1,IF(References!$B$11,IF(J222="CSDDD",0,1),IF(References!$B$12,IF(J222="REGEN",0,1),IF(J222="FSA",1,0))))</f>
        <v>1</v>
      </c>
    </row>
    <row r="223" spans="4:25" ht="18" hidden="1">
      <c r="D223" s="241"/>
      <c r="E223" s="252" t="s">
        <v>971</v>
      </c>
      <c r="F223" s="252"/>
      <c r="G223" s="277"/>
      <c r="H223" s="241"/>
      <c r="I223" s="241"/>
      <c r="J223" s="164" t="s">
        <v>983</v>
      </c>
      <c r="K223" s="150">
        <f t="shared" si="19"/>
        <v>1</v>
      </c>
      <c r="L223" s="241"/>
      <c r="M223" s="235"/>
      <c r="N223" s="241"/>
      <c r="O223" s="241"/>
      <c r="P223" s="241"/>
      <c r="Q223" s="241"/>
      <c r="U223" t="e">
        <f>VLOOKUP(queData[[#This Row],[Code]],RegenAg!$B$52:$C$76,2,0)=1</f>
        <v>#N/A</v>
      </c>
      <c r="Y223">
        <f>IF(AND(References!$B$11,References!$B$12),1,IF(References!$B$11,IF(J223="CSDDD",0,1),IF(References!$B$12,IF(J223="REGEN",0,1),IF(J223="FSA",1,0))))</f>
        <v>1</v>
      </c>
    </row>
    <row r="224" spans="4:25" ht="25">
      <c r="D224" s="231" t="s">
        <v>972</v>
      </c>
      <c r="E224" s="236" t="s">
        <v>1602</v>
      </c>
      <c r="F224" s="315">
        <f>'Checklist 2026'!F13/'Checklist 2026'!F8</f>
        <v>0</v>
      </c>
      <c r="G224" s="233" t="str">
        <f>IF(queData[[#This Row],[Responder]]&lt;&gt;0,"Yes","No")</f>
        <v>No</v>
      </c>
      <c r="H224" s="266"/>
      <c r="I224" s="231" t="s">
        <v>971</v>
      </c>
      <c r="J224" s="162" t="s">
        <v>983</v>
      </c>
      <c r="K224" s="150">
        <f t="shared" si="19"/>
        <v>1</v>
      </c>
      <c r="L224" s="234" t="str">
        <f t="shared" ref="L224:L225" si="20">IF(AND(W224=1,X224=1),"REGEN &amp; DUE DILIGENCE",IF(AND(W224=1,ISBLANK(X224)),"REGEN",IF(AND(ISBLANK(W224),X224=1),"DUE DILIGENCE","")))</f>
        <v>REGEN</v>
      </c>
      <c r="M224" s="235"/>
      <c r="N224" s="237"/>
      <c r="O224" s="237"/>
      <c r="P224" s="237"/>
      <c r="Q224" s="237"/>
      <c r="U224" t="b">
        <f>VLOOKUP(queData[[#This Row],[Code]],RegenAg!$B$52:$C$76,2,0)=1</f>
        <v>0</v>
      </c>
      <c r="W224">
        <v>1</v>
      </c>
      <c r="Y224">
        <f>IF(AND(References!$B$11,References!$B$12),1,IF(References!$B$11,IF(J224="CSDDD",0,1),IF(References!$B$12,IF(J224="REGEN",0,1),IF(J224="FSA",1,0))))</f>
        <v>1</v>
      </c>
    </row>
    <row r="225" spans="4:25" ht="25" hidden="1">
      <c r="D225" s="231" t="s">
        <v>1500</v>
      </c>
      <c r="E225" s="236" t="s">
        <v>973</v>
      </c>
      <c r="F225" s="315">
        <f>F224</f>
        <v>0</v>
      </c>
      <c r="G225" s="316">
        <f>IF(queData[[#This Row],[Responder]]="No","No",queData[[#This Row],[Responder]])</f>
        <v>0</v>
      </c>
      <c r="H225" s="266"/>
      <c r="I225" s="231" t="s">
        <v>971</v>
      </c>
      <c r="J225" s="162" t="s">
        <v>983</v>
      </c>
      <c r="K225" s="150">
        <f t="shared" si="19"/>
        <v>1</v>
      </c>
      <c r="L225" s="234" t="str">
        <f t="shared" si="20"/>
        <v/>
      </c>
      <c r="M225" s="235"/>
      <c r="N225" s="237"/>
      <c r="O225" s="237"/>
      <c r="P225" s="237"/>
      <c r="Q225" s="237"/>
      <c r="U225" t="e">
        <f>VLOOKUP(queData[[#This Row],[Code]],RegenAg!$B$52:$C$76,2,0)=1</f>
        <v>#N/A</v>
      </c>
      <c r="Y225">
        <f>IF(AND(References!$B$11,References!$B$12),1,IF(References!$B$11,IF(J225="CSDDD",0,1),IF(References!$B$12,IF(J225="REGEN",0,1),IF(J225="FSA",1,0))))</f>
        <v>1</v>
      </c>
    </row>
    <row r="226" spans="4:25" ht="17.5" hidden="1">
      <c r="D226" s="241"/>
      <c r="E226" s="253" t="s">
        <v>975</v>
      </c>
      <c r="F226" s="253"/>
      <c r="G226" s="254"/>
      <c r="H226" s="254"/>
      <c r="I226" s="254"/>
      <c r="J226" s="166" t="s">
        <v>0</v>
      </c>
      <c r="K226" s="193">
        <f t="shared" si="19"/>
        <v>1</v>
      </c>
      <c r="L226" s="254"/>
      <c r="M226" s="235"/>
      <c r="N226" s="254"/>
      <c r="O226" s="254"/>
      <c r="P226" s="254"/>
      <c r="Q226" s="241"/>
      <c r="U226" t="e">
        <f>VLOOKUP(queData[[#This Row],[Code]],RegenAg!$B$52:$C$76,2,0)=1</f>
        <v>#N/A</v>
      </c>
      <c r="Y226">
        <f>IF(AND(References!$B$11,References!$B$12),1,IF(References!$B$11,IF(J226="CSDDD",0,1),IF(References!$B$12,IF(J226="REGEN",0,1),IF(J226="FSA",1,0))))</f>
        <v>1</v>
      </c>
    </row>
    <row r="227" spans="4:25" ht="237.5" hidden="1">
      <c r="D227" s="231" t="s">
        <v>1598</v>
      </c>
      <c r="E227" s="255" t="s">
        <v>974</v>
      </c>
      <c r="F227" s="255" t="s">
        <v>1636</v>
      </c>
      <c r="G227" s="256" t="str">
        <f>IF(queData[[#This Row],[Responder]]="Sim","Yes",IF(queData[[#This Row],[Responder]]="N/A","Not Applicable","No"))</f>
        <v>Not Applicable</v>
      </c>
      <c r="H227" s="270"/>
      <c r="I227" s="258" t="s">
        <v>975</v>
      </c>
      <c r="J227" s="174" t="s">
        <v>0</v>
      </c>
      <c r="K227" s="193">
        <f t="shared" si="19"/>
        <v>1</v>
      </c>
      <c r="L227" s="234" t="str">
        <f t="shared" ref="L227:L229" si="21">IF(AND(W227=1,X227=1),"REGEN &amp; DUE DILIGENCE",IF(AND(W227=1,ISBLANK(X227)),"REGEN",IF(AND(ISBLANK(W227),X227=1),"DUE DILIGENCE","")))</f>
        <v>DUE DILIGENCE</v>
      </c>
      <c r="M227" s="235"/>
      <c r="N227" s="257" t="s">
        <v>1266</v>
      </c>
      <c r="O227" s="257"/>
      <c r="P227" s="257" t="s">
        <v>1267</v>
      </c>
      <c r="Q227" s="237" t="s">
        <v>1268</v>
      </c>
      <c r="U227" t="e">
        <f>VLOOKUP(queData[[#This Row],[Code]],RegenAg!$B$52:$C$76,2,0)=1</f>
        <v>#N/A</v>
      </c>
      <c r="X227">
        <v>1</v>
      </c>
      <c r="Y227">
        <f>IF(AND(References!$B$11,References!$B$12),1,IF(References!$B$11,IF(J227="CSDDD",0,1),IF(References!$B$12,IF(J227="REGEN",0,1),IF(J227="FSA",1,0))))</f>
        <v>1</v>
      </c>
    </row>
    <row r="228" spans="4:25" ht="175" hidden="1">
      <c r="D228" s="231" t="s">
        <v>1599</v>
      </c>
      <c r="E228" s="236" t="s">
        <v>976</v>
      </c>
      <c r="F228" s="236" t="str">
        <f>IF('Checklist 2026'!F20="Sim",IF('Checklist 2026'!F21="Sim","Sim","Não"),"Não")</f>
        <v>Sim</v>
      </c>
      <c r="G228" s="233" t="str">
        <f>IF(queData[[#This Row],[Responder]]="Sim","Yes",IF(queData[[#This Row],[Responder]]="N/A","Yes","No"))</f>
        <v>Yes</v>
      </c>
      <c r="H228" s="266"/>
      <c r="I228" s="231" t="s">
        <v>975</v>
      </c>
      <c r="J228" s="162" t="s">
        <v>0</v>
      </c>
      <c r="K228" s="193">
        <f t="shared" si="19"/>
        <v>1</v>
      </c>
      <c r="L228" s="234" t="str">
        <f t="shared" si="21"/>
        <v>DUE DILIGENCE</v>
      </c>
      <c r="M228" s="235"/>
      <c r="N228" s="237" t="s">
        <v>1269</v>
      </c>
      <c r="O228" s="237" t="s">
        <v>1270</v>
      </c>
      <c r="P228" s="237" t="s">
        <v>1271</v>
      </c>
      <c r="Q228" s="237"/>
      <c r="U228" t="e">
        <f>VLOOKUP(queData[[#This Row],[Code]],RegenAg!$B$52:$C$76,2,0)=1</f>
        <v>#N/A</v>
      </c>
      <c r="X228">
        <v>1</v>
      </c>
      <c r="Y228">
        <f>IF(AND(References!$B$11,References!$B$12),1,IF(References!$B$11,IF(J228="CSDDD",0,1),IF(References!$B$12,IF(J228="REGEN",0,1),IF(J228="FSA",1,0))))</f>
        <v>1</v>
      </c>
    </row>
    <row r="229" spans="4:25" ht="262.5" hidden="1">
      <c r="D229" s="259" t="s">
        <v>1600</v>
      </c>
      <c r="E229" s="348" t="s">
        <v>977</v>
      </c>
      <c r="F229" s="348" t="s">
        <v>1618</v>
      </c>
      <c r="G229" s="260" t="str">
        <f>IF(queData[[#This Row],[Responder]]="Sim","Yes",IF(queData[[#This Row],[Responder]]="N/A","Yes","No"))</f>
        <v>Yes</v>
      </c>
      <c r="H229" s="271"/>
      <c r="I229" s="259" t="s">
        <v>975</v>
      </c>
      <c r="J229" s="175" t="s">
        <v>0</v>
      </c>
      <c r="K229" s="194">
        <f t="shared" si="19"/>
        <v>1</v>
      </c>
      <c r="L229" s="263" t="str">
        <f t="shared" si="21"/>
        <v>DUE DILIGENCE</v>
      </c>
      <c r="M229" s="235"/>
      <c r="N229" s="261" t="s">
        <v>1272</v>
      </c>
      <c r="O229" s="261" t="s">
        <v>1270</v>
      </c>
      <c r="P229" s="261" t="s">
        <v>1273</v>
      </c>
      <c r="Q229" s="261"/>
      <c r="U229" t="e">
        <f>VLOOKUP(queData[[#This Row],[Code]],RegenAg!$B$52:$C$76,2,0)=1</f>
        <v>#N/A</v>
      </c>
      <c r="X229">
        <v>1</v>
      </c>
      <c r="Y229">
        <f>IF(AND(References!$B$11,References!$B$12),1,IF(References!$B$11,IF(J229="CSDDD",0,1),IF(References!$B$12,IF(J229="REGEN",0,1),IF(J229="FSA",1,0))))</f>
        <v>1</v>
      </c>
    </row>
    <row r="230" spans="4:25">
      <c r="H230" s="168"/>
      <c r="I230"/>
      <c r="K230" s="153"/>
    </row>
    <row r="231" spans="4:25">
      <c r="E231" t="s">
        <v>1412</v>
      </c>
      <c r="H231" s="168"/>
      <c r="I231"/>
    </row>
    <row r="232" spans="4:25">
      <c r="H232" s="168"/>
      <c r="I232"/>
    </row>
    <row r="235" spans="4:25">
      <c r="D235" s="119"/>
      <c r="E235" s="119"/>
      <c r="F235" s="119"/>
      <c r="G235" s="171"/>
      <c r="H235" s="169"/>
      <c r="I235" s="124"/>
      <c r="J235" s="171"/>
      <c r="K235" s="151"/>
      <c r="L235" s="119"/>
      <c r="N235" s="119"/>
      <c r="O235" s="119"/>
    </row>
  </sheetData>
  <sheetProtection selectLockedCells="1" autoFilter="0"/>
  <autoFilter ref="U15:Y229" xr:uid="{00000000-0009-0000-0000-000003000000}"/>
  <mergeCells count="1">
    <mergeCell ref="D11:L12"/>
  </mergeCells>
  <phoneticPr fontId="20" type="noConversion"/>
  <conditionalFormatting sqref="E79:F93">
    <cfRule type="expression" dxfId="107" priority="11">
      <formula>$G$78="No"</formula>
    </cfRule>
  </conditionalFormatting>
  <conditionalFormatting sqref="G16:G66 G68:G229">
    <cfRule type="expression" dxfId="106" priority="41">
      <formula>G16="Not Applicable"</formula>
    </cfRule>
    <cfRule type="expression" dxfId="105" priority="42">
      <formula>G16="No"</formula>
    </cfRule>
    <cfRule type="expression" dxfId="104" priority="43">
      <formula>G16="Yes"</formula>
    </cfRule>
  </conditionalFormatting>
  <conditionalFormatting sqref="E207:F212">
    <cfRule type="expression" dxfId="103" priority="10">
      <formula>$G$206="No"</formula>
    </cfRule>
  </conditionalFormatting>
  <conditionalFormatting sqref="E202:F204">
    <cfRule type="expression" dxfId="102" priority="9">
      <formula>$G$201="No"</formula>
    </cfRule>
  </conditionalFormatting>
  <conditionalFormatting sqref="E180:F199">
    <cfRule type="expression" dxfId="101" priority="8">
      <formula>$G$179="No"</formula>
    </cfRule>
  </conditionalFormatting>
  <conditionalFormatting sqref="E133:F141">
    <cfRule type="expression" dxfId="100" priority="7">
      <formula>$G$132="No"</formula>
    </cfRule>
  </conditionalFormatting>
  <conditionalFormatting sqref="E97:F115">
    <cfRule type="expression" dxfId="99" priority="6">
      <formula>$G$96="No"</formula>
    </cfRule>
  </conditionalFormatting>
  <conditionalFormatting sqref="E50:F51">
    <cfRule type="expression" dxfId="98" priority="5">
      <formula>$G$49="No"</formula>
    </cfRule>
  </conditionalFormatting>
  <conditionalFormatting sqref="L16:L46 L48:L58 L60:L76 L78:L93 L95:L115 L117:L122 L124:L126 L128:L146 L148:L167 L169:L177 L179:L222 L224:L225 L227:L229">
    <cfRule type="expression" dxfId="97" priority="4">
      <formula>$U16</formula>
    </cfRule>
  </conditionalFormatting>
  <conditionalFormatting sqref="G67">
    <cfRule type="expression" dxfId="96" priority="1">
      <formula>G67="Not Applicable"</formula>
    </cfRule>
    <cfRule type="expression" dxfId="95" priority="2">
      <formula>G67="No"</formula>
    </cfRule>
    <cfRule type="expression" dxfId="94" priority="3">
      <formula>G67="Yes"</formula>
    </cfRule>
  </conditionalFormatting>
  <dataValidations count="3">
    <dataValidation type="list" allowBlank="1" showInputMessage="1" showErrorMessage="1" sqref="G56:G58 G204 G66 G208 G130 G227:G229 G75 G169 G78:G79 G133:G134 G68 G73 G45:G46 G61 G176 G164:G167 G39 G143:G144 G190:G199 G63 G53 G50:G51 G70:G71 G35:G37 G215 G217 G222 G148:G149 G101 G112:G114" xr:uid="{00000000-0002-0000-0300-000000000000}">
      <formula1>"Yes,No,Not Applicable"</formula1>
    </dataValidation>
    <dataValidation type="list" allowBlank="1" showInputMessage="1" showErrorMessage="1" sqref="H41:H46 H98" xr:uid="{00000000-0002-0000-0300-000001000000}">
      <formula1>"Essential,Advanced,Intermediate"</formula1>
    </dataValidation>
    <dataValidation type="list" allowBlank="1" showInputMessage="1" showErrorMessage="1" sqref="G49 G115 G179:G189 G201:G203 G206:G207 G218:G221 G132 G99:G100 G152 G38 G150 G54:G55 G74 G85:G89 G40:G44 G91:G93 G96:G97 G154 G105:G110 G102:G103 G118:G122 G124:G126 G129 G138:G141 G146 G156:G157 G159 G161:G163 G135:G136 G209:G212 G214 G216 G177 G171:G175 G80:G83" xr:uid="{00000000-0002-0000-0300-000002000000}">
      <formula1>"Yes,No"</formula1>
    </dataValidation>
  </dataValidations>
  <hyperlinks>
    <hyperlink ref="Q2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1"/>
  <dimension ref="A1:K123"/>
  <sheetViews>
    <sheetView tabSelected="1" topLeftCell="A81" zoomScale="70" zoomScaleNormal="70" zoomScaleSheetLayoutView="115" workbookViewId="0">
      <selection activeCell="F96" sqref="F96"/>
    </sheetView>
  </sheetViews>
  <sheetFormatPr defaultRowHeight="14.5"/>
  <cols>
    <col min="1" max="1" width="6.26953125" bestFit="1" customWidth="1"/>
    <col min="2" max="2" width="6.26953125" customWidth="1"/>
    <col min="3" max="3" width="12.6328125" customWidth="1"/>
    <col min="4" max="4" width="6.81640625" customWidth="1"/>
    <col min="5" max="5" width="90" customWidth="1"/>
    <col min="6" max="6" width="13.1796875" customWidth="1"/>
    <col min="7" max="7" width="58.26953125" bestFit="1" customWidth="1"/>
    <col min="8" max="8" width="16.81640625" customWidth="1"/>
    <col min="9" max="9" width="15.08984375" customWidth="1"/>
    <col min="10" max="10" width="8.7265625" hidden="1" customWidth="1"/>
    <col min="11" max="11" width="0" hidden="1" customWidth="1"/>
  </cols>
  <sheetData>
    <row r="1" spans="1:10" ht="63" customHeight="1">
      <c r="A1" s="408" t="s">
        <v>1634</v>
      </c>
      <c r="B1" s="409"/>
      <c r="C1" s="409"/>
      <c r="D1" s="409"/>
      <c r="E1" s="409"/>
      <c r="F1" s="409"/>
      <c r="G1" s="410"/>
      <c r="H1" s="397" t="s">
        <v>1751</v>
      </c>
      <c r="I1" s="370" t="s">
        <v>1766</v>
      </c>
    </row>
    <row r="2" spans="1:10" ht="18" customHeight="1" thickBot="1">
      <c r="A2" s="399" t="s">
        <v>1606</v>
      </c>
      <c r="B2" s="400"/>
      <c r="C2" s="400"/>
      <c r="D2" s="401"/>
      <c r="E2" s="283" t="s">
        <v>1607</v>
      </c>
      <c r="F2" s="411"/>
      <c r="G2" s="412"/>
      <c r="H2" s="398">
        <v>5</v>
      </c>
      <c r="I2" s="350" t="s">
        <v>1613</v>
      </c>
      <c r="J2">
        <v>2</v>
      </c>
    </row>
    <row r="3" spans="1:10" ht="18" customHeight="1">
      <c r="A3" s="402"/>
      <c r="B3" s="403"/>
      <c r="C3" s="403"/>
      <c r="D3" s="404"/>
      <c r="E3" s="284" t="s">
        <v>1608</v>
      </c>
      <c r="F3" s="411"/>
      <c r="G3" s="412"/>
      <c r="J3">
        <v>3</v>
      </c>
    </row>
    <row r="4" spans="1:10" ht="18" customHeight="1">
      <c r="A4" s="402"/>
      <c r="B4" s="403"/>
      <c r="C4" s="403"/>
      <c r="D4" s="404"/>
      <c r="E4" s="285" t="s">
        <v>1609</v>
      </c>
      <c r="F4" s="413"/>
      <c r="G4" s="414"/>
      <c r="H4" s="378"/>
      <c r="J4">
        <v>4</v>
      </c>
    </row>
    <row r="5" spans="1:10" ht="18" customHeight="1">
      <c r="A5" s="402"/>
      <c r="B5" s="403"/>
      <c r="C5" s="403"/>
      <c r="D5" s="404"/>
      <c r="E5" s="284" t="s">
        <v>1610</v>
      </c>
      <c r="F5" s="415"/>
      <c r="G5" s="416"/>
      <c r="J5">
        <v>5</v>
      </c>
    </row>
    <row r="6" spans="1:10" ht="18" customHeight="1">
      <c r="A6" s="402"/>
      <c r="B6" s="403"/>
      <c r="C6" s="403"/>
      <c r="D6" s="404"/>
      <c r="E6" s="283" t="s">
        <v>1611</v>
      </c>
      <c r="F6" s="474">
        <v>2</v>
      </c>
      <c r="G6" s="318" t="s">
        <v>1720</v>
      </c>
    </row>
    <row r="7" spans="1:10" ht="18" customHeight="1">
      <c r="A7" s="402"/>
      <c r="B7" s="403"/>
      <c r="C7" s="403"/>
      <c r="D7" s="404"/>
      <c r="E7" s="283" t="s">
        <v>1650</v>
      </c>
      <c r="F7" s="396"/>
      <c r="G7" s="318"/>
    </row>
    <row r="8" spans="1:10" ht="18" customHeight="1">
      <c r="A8" s="402"/>
      <c r="B8" s="403"/>
      <c r="C8" s="403"/>
      <c r="D8" s="404"/>
      <c r="E8" s="285" t="s">
        <v>1643</v>
      </c>
      <c r="F8" s="473">
        <v>100</v>
      </c>
      <c r="G8" s="286"/>
    </row>
    <row r="9" spans="1:10" ht="18" customHeight="1">
      <c r="A9" s="402"/>
      <c r="B9" s="403"/>
      <c r="C9" s="403"/>
      <c r="D9" s="404"/>
      <c r="E9" s="284" t="s">
        <v>1644</v>
      </c>
      <c r="F9" s="362"/>
      <c r="G9" s="286"/>
    </row>
    <row r="10" spans="1:10" ht="18" customHeight="1">
      <c r="A10" s="402"/>
      <c r="B10" s="403"/>
      <c r="C10" s="403"/>
      <c r="D10" s="404"/>
      <c r="E10" s="283" t="s">
        <v>1645</v>
      </c>
      <c r="F10" s="362"/>
      <c r="G10" s="342"/>
    </row>
    <row r="11" spans="1:10" ht="18" customHeight="1">
      <c r="A11" s="402"/>
      <c r="B11" s="403"/>
      <c r="C11" s="403"/>
      <c r="D11" s="404"/>
      <c r="E11" s="283" t="s">
        <v>1646</v>
      </c>
      <c r="F11" s="362"/>
      <c r="G11" s="342"/>
    </row>
    <row r="12" spans="1:10" ht="18" customHeight="1">
      <c r="A12" s="402"/>
      <c r="B12" s="403"/>
      <c r="C12" s="403"/>
      <c r="D12" s="404"/>
      <c r="E12" s="283" t="s">
        <v>1647</v>
      </c>
      <c r="F12" s="362"/>
      <c r="G12" s="342"/>
    </row>
    <row r="13" spans="1:10" ht="18" customHeight="1">
      <c r="A13" s="402"/>
      <c r="B13" s="403"/>
      <c r="C13" s="403"/>
      <c r="D13" s="404"/>
      <c r="E13" s="283" t="s">
        <v>1730</v>
      </c>
      <c r="F13" s="362"/>
      <c r="G13" s="342"/>
    </row>
    <row r="14" spans="1:10" ht="18" customHeight="1">
      <c r="A14" s="402"/>
      <c r="B14" s="403"/>
      <c r="C14" s="403"/>
      <c r="D14" s="404"/>
      <c r="E14" s="283" t="s">
        <v>1648</v>
      </c>
      <c r="F14" s="362"/>
      <c r="G14" s="342"/>
    </row>
    <row r="15" spans="1:10" ht="18" customHeight="1">
      <c r="A15" s="402"/>
      <c r="B15" s="403"/>
      <c r="C15" s="403"/>
      <c r="D15" s="404"/>
      <c r="E15" s="283" t="s">
        <v>1649</v>
      </c>
      <c r="F15" s="362"/>
      <c r="G15" s="342"/>
    </row>
    <row r="16" spans="1:10" ht="18" customHeight="1">
      <c r="A16" s="405"/>
      <c r="B16" s="406"/>
      <c r="C16" s="406"/>
      <c r="D16" s="407"/>
      <c r="E16" s="283" t="s">
        <v>1612</v>
      </c>
      <c r="F16" s="371" t="s">
        <v>1613</v>
      </c>
      <c r="G16" s="287"/>
      <c r="H16" s="2"/>
    </row>
    <row r="17" spans="1:11" ht="25" hidden="1" customHeight="1">
      <c r="A17" s="344" t="s">
        <v>1614</v>
      </c>
      <c r="B17" s="346" t="s">
        <v>1756</v>
      </c>
      <c r="C17" s="346" t="s">
        <v>1764</v>
      </c>
      <c r="D17" s="346" t="s">
        <v>1763</v>
      </c>
      <c r="E17" s="345" t="s">
        <v>1615</v>
      </c>
      <c r="F17" s="343" t="s">
        <v>1616</v>
      </c>
      <c r="G17" s="346" t="s">
        <v>1617</v>
      </c>
    </row>
    <row r="18" spans="1:11" ht="25" customHeight="1">
      <c r="A18" s="320"/>
      <c r="B18" s="391" t="s">
        <v>1757</v>
      </c>
      <c r="C18" s="391" t="s">
        <v>1765</v>
      </c>
      <c r="D18" s="391" t="s">
        <v>1760</v>
      </c>
      <c r="E18" s="391" t="s">
        <v>1652</v>
      </c>
      <c r="F18" s="321"/>
      <c r="G18" s="321"/>
      <c r="H18" s="363"/>
    </row>
    <row r="19" spans="1:11" ht="35" customHeight="1">
      <c r="A19" s="322">
        <v>1</v>
      </c>
      <c r="B19" s="322" t="s">
        <v>1758</v>
      </c>
      <c r="C19" s="394" t="str">
        <f>IF($I$2="Não","Proprietário",K19)</f>
        <v>Proprietário</v>
      </c>
      <c r="D19" s="372" t="s">
        <v>1613</v>
      </c>
      <c r="E19" s="354" t="s">
        <v>1653</v>
      </c>
      <c r="F19" s="322" t="s">
        <v>1618</v>
      </c>
      <c r="G19" s="364"/>
      <c r="K19" t="s">
        <v>1767</v>
      </c>
    </row>
    <row r="20" spans="1:11" ht="35" customHeight="1">
      <c r="A20" s="288">
        <v>2</v>
      </c>
      <c r="B20" s="288" t="s">
        <v>1758</v>
      </c>
      <c r="C20" s="394" t="str">
        <f t="shared" ref="C20:C36" si="0">IF($I$2="Não","Proprietário",K20)</f>
        <v>Proprietário</v>
      </c>
      <c r="D20" s="372" t="str">
        <f>IF(OR($F$6=0,$F$6=""),"Sim","Não")</f>
        <v>Não</v>
      </c>
      <c r="E20" s="289" t="s">
        <v>1654</v>
      </c>
      <c r="F20" s="322" t="s">
        <v>1618</v>
      </c>
      <c r="G20" s="323"/>
      <c r="K20" t="s">
        <v>1768</v>
      </c>
    </row>
    <row r="21" spans="1:11" ht="35" customHeight="1">
      <c r="A21" s="288">
        <v>3</v>
      </c>
      <c r="B21" s="288" t="s">
        <v>1758</v>
      </c>
      <c r="C21" s="394" t="str">
        <f t="shared" si="0"/>
        <v>Proprietário</v>
      </c>
      <c r="D21" s="372" t="s">
        <v>1613</v>
      </c>
      <c r="E21" s="289" t="s">
        <v>1655</v>
      </c>
      <c r="F21" s="322" t="s">
        <v>1618</v>
      </c>
      <c r="G21" s="324"/>
      <c r="H21" s="363"/>
      <c r="K21" t="s">
        <v>1768</v>
      </c>
    </row>
    <row r="22" spans="1:11" ht="35" customHeight="1">
      <c r="A22" s="288">
        <v>4</v>
      </c>
      <c r="B22" s="288" t="s">
        <v>1758</v>
      </c>
      <c r="C22" s="394" t="str">
        <f t="shared" si="0"/>
        <v>Proprietário</v>
      </c>
      <c r="D22" s="372" t="str">
        <f t="shared" ref="D22:D26" si="1">IF(OR($F$6=0,$F$6=""),"Sim","Não")</f>
        <v>Não</v>
      </c>
      <c r="E22" s="289" t="s">
        <v>1619</v>
      </c>
      <c r="F22" s="322" t="s">
        <v>1618</v>
      </c>
      <c r="G22" s="325"/>
      <c r="H22" s="363"/>
      <c r="K22" t="s">
        <v>1768</v>
      </c>
    </row>
    <row r="23" spans="1:11" ht="35" customHeight="1">
      <c r="A23" s="288">
        <v>5</v>
      </c>
      <c r="B23" s="288" t="s">
        <v>1758</v>
      </c>
      <c r="C23" s="394" t="str">
        <f t="shared" si="0"/>
        <v>Proprietário</v>
      </c>
      <c r="D23" s="372" t="str">
        <f t="shared" si="1"/>
        <v>Não</v>
      </c>
      <c r="E23" s="352" t="s">
        <v>1656</v>
      </c>
      <c r="F23" s="322" t="s">
        <v>1618</v>
      </c>
      <c r="G23" s="326"/>
      <c r="H23" s="363"/>
      <c r="J23" t="s">
        <v>1762</v>
      </c>
      <c r="K23" t="s">
        <v>1768</v>
      </c>
    </row>
    <row r="24" spans="1:11" ht="35" customHeight="1">
      <c r="A24" s="288">
        <v>6</v>
      </c>
      <c r="B24" s="288" t="s">
        <v>1758</v>
      </c>
      <c r="C24" s="394" t="str">
        <f t="shared" si="0"/>
        <v>Proprietário</v>
      </c>
      <c r="D24" s="372" t="str">
        <f t="shared" si="1"/>
        <v>Não</v>
      </c>
      <c r="E24" s="352" t="s">
        <v>1620</v>
      </c>
      <c r="F24" s="322" t="s">
        <v>1618</v>
      </c>
      <c r="G24" s="326" t="s">
        <v>1731</v>
      </c>
      <c r="H24" s="363"/>
      <c r="J24" t="s">
        <v>1762</v>
      </c>
      <c r="K24" t="s">
        <v>1768</v>
      </c>
    </row>
    <row r="25" spans="1:11" ht="35" customHeight="1">
      <c r="A25" s="288">
        <v>7</v>
      </c>
      <c r="B25" s="288" t="s">
        <v>1758</v>
      </c>
      <c r="C25" s="394" t="str">
        <f t="shared" si="0"/>
        <v>Proprietário</v>
      </c>
      <c r="D25" s="372" t="str">
        <f t="shared" si="1"/>
        <v>Não</v>
      </c>
      <c r="E25" s="289" t="s">
        <v>1621</v>
      </c>
      <c r="F25" s="322" t="s">
        <v>1618</v>
      </c>
      <c r="G25" s="477" t="s">
        <v>1801</v>
      </c>
      <c r="H25" s="363"/>
      <c r="K25" t="s">
        <v>1768</v>
      </c>
    </row>
    <row r="26" spans="1:11" ht="35" customHeight="1">
      <c r="A26" s="288">
        <v>8</v>
      </c>
      <c r="B26" s="288" t="s">
        <v>1758</v>
      </c>
      <c r="C26" s="394" t="str">
        <f t="shared" si="0"/>
        <v>Proprietário</v>
      </c>
      <c r="D26" s="372" t="str">
        <f t="shared" si="1"/>
        <v>Não</v>
      </c>
      <c r="E26" s="352" t="s">
        <v>1722</v>
      </c>
      <c r="F26" s="322" t="s">
        <v>1618</v>
      </c>
      <c r="G26" s="327"/>
      <c r="H26" s="363"/>
      <c r="J26" t="s">
        <v>1762</v>
      </c>
      <c r="K26" t="s">
        <v>1768</v>
      </c>
    </row>
    <row r="27" spans="1:11" ht="42" customHeight="1">
      <c r="A27" s="288">
        <v>9</v>
      </c>
      <c r="B27" s="288" t="s">
        <v>1755</v>
      </c>
      <c r="C27" s="394" t="str">
        <f t="shared" si="0"/>
        <v>Proprietário</v>
      </c>
      <c r="D27" s="372" t="s">
        <v>1613</v>
      </c>
      <c r="E27" s="289" t="s">
        <v>1657</v>
      </c>
      <c r="F27" s="322" t="s">
        <v>1618</v>
      </c>
      <c r="G27" s="327" t="s">
        <v>1732</v>
      </c>
      <c r="H27" s="363"/>
      <c r="K27" t="s">
        <v>1789</v>
      </c>
    </row>
    <row r="28" spans="1:11" ht="35" customHeight="1">
      <c r="A28" s="288">
        <v>10</v>
      </c>
      <c r="B28" s="288" t="s">
        <v>1755</v>
      </c>
      <c r="C28" s="394" t="str">
        <f t="shared" si="0"/>
        <v>Proprietário</v>
      </c>
      <c r="D28" s="372" t="s">
        <v>1613</v>
      </c>
      <c r="E28" s="289" t="s">
        <v>1658</v>
      </c>
      <c r="F28" s="322" t="s">
        <v>1618</v>
      </c>
      <c r="G28" s="327" t="s">
        <v>1732</v>
      </c>
      <c r="H28" s="363"/>
      <c r="K28" t="s">
        <v>1789</v>
      </c>
    </row>
    <row r="29" spans="1:11" ht="35" customHeight="1">
      <c r="A29" s="288">
        <v>11</v>
      </c>
      <c r="B29" s="288" t="s">
        <v>1755</v>
      </c>
      <c r="C29" s="394" t="str">
        <f t="shared" si="0"/>
        <v>Proprietário</v>
      </c>
      <c r="D29" s="372" t="s">
        <v>1613</v>
      </c>
      <c r="E29" s="289" t="s">
        <v>1659</v>
      </c>
      <c r="F29" s="322" t="s">
        <v>1618</v>
      </c>
      <c r="G29" s="327" t="s">
        <v>1732</v>
      </c>
      <c r="H29" s="363"/>
      <c r="K29" t="s">
        <v>1789</v>
      </c>
    </row>
    <row r="30" spans="1:11" ht="35" customHeight="1">
      <c r="A30" s="288">
        <v>12</v>
      </c>
      <c r="B30" s="288" t="s">
        <v>1758</v>
      </c>
      <c r="C30" s="394" t="str">
        <f t="shared" si="0"/>
        <v>Proprietário</v>
      </c>
      <c r="D30" s="372" t="s">
        <v>1613</v>
      </c>
      <c r="E30" s="289" t="s">
        <v>1660</v>
      </c>
      <c r="F30" s="322" t="s">
        <v>1618</v>
      </c>
      <c r="G30" s="327" t="s">
        <v>1734</v>
      </c>
      <c r="H30" s="363"/>
      <c r="K30" t="s">
        <v>1767</v>
      </c>
    </row>
    <row r="31" spans="1:11" ht="35" customHeight="1">
      <c r="A31" s="288">
        <v>13</v>
      </c>
      <c r="B31" s="288" t="s">
        <v>1758</v>
      </c>
      <c r="C31" s="394" t="str">
        <f t="shared" si="0"/>
        <v>Proprietário</v>
      </c>
      <c r="D31" s="372" t="s">
        <v>1613</v>
      </c>
      <c r="E31" s="352" t="s">
        <v>1661</v>
      </c>
      <c r="F31" s="322" t="s">
        <v>1618</v>
      </c>
      <c r="G31" s="327" t="s">
        <v>1734</v>
      </c>
      <c r="H31" s="363"/>
      <c r="J31" t="s">
        <v>1762</v>
      </c>
      <c r="K31" t="s">
        <v>1767</v>
      </c>
    </row>
    <row r="32" spans="1:11" ht="35" customHeight="1">
      <c r="A32" s="288">
        <v>14</v>
      </c>
      <c r="B32" s="288" t="s">
        <v>1758</v>
      </c>
      <c r="C32" s="394" t="str">
        <f t="shared" si="0"/>
        <v>Proprietário</v>
      </c>
      <c r="D32" s="372" t="s">
        <v>1613</v>
      </c>
      <c r="E32" s="352" t="s">
        <v>1662</v>
      </c>
      <c r="F32" s="322" t="s">
        <v>1618</v>
      </c>
      <c r="G32" s="323" t="s">
        <v>794</v>
      </c>
      <c r="H32" s="363"/>
      <c r="J32" t="s">
        <v>1762</v>
      </c>
      <c r="K32" t="s">
        <v>1789</v>
      </c>
    </row>
    <row r="33" spans="1:11" ht="35" customHeight="1">
      <c r="A33" s="288">
        <v>15</v>
      </c>
      <c r="B33" s="288" t="s">
        <v>1755</v>
      </c>
      <c r="C33" s="394" t="str">
        <f t="shared" si="0"/>
        <v>Proprietário</v>
      </c>
      <c r="D33" s="372" t="s">
        <v>1613</v>
      </c>
      <c r="E33" s="289" t="s">
        <v>1663</v>
      </c>
      <c r="F33" s="322" t="s">
        <v>1618</v>
      </c>
      <c r="G33" s="323" t="s">
        <v>1736</v>
      </c>
      <c r="H33" s="363"/>
      <c r="K33" t="s">
        <v>1789</v>
      </c>
    </row>
    <row r="34" spans="1:11" ht="35" customHeight="1">
      <c r="A34" s="288">
        <v>16</v>
      </c>
      <c r="B34" s="288" t="s">
        <v>1758</v>
      </c>
      <c r="C34" s="394" t="str">
        <f t="shared" si="0"/>
        <v>Proprietário</v>
      </c>
      <c r="D34" s="372" t="s">
        <v>1613</v>
      </c>
      <c r="E34" s="289" t="s">
        <v>1622</v>
      </c>
      <c r="F34" s="322" t="s">
        <v>1618</v>
      </c>
      <c r="G34" s="328"/>
      <c r="H34" s="363"/>
      <c r="K34" t="s">
        <v>1790</v>
      </c>
    </row>
    <row r="35" spans="1:11" ht="55.5" customHeight="1">
      <c r="A35" s="288">
        <v>17</v>
      </c>
      <c r="B35" s="351" t="s">
        <v>1758</v>
      </c>
      <c r="C35" s="394" t="str">
        <f t="shared" si="0"/>
        <v>Proprietário</v>
      </c>
      <c r="D35" s="372" t="s">
        <v>1613</v>
      </c>
      <c r="E35" s="319" t="s">
        <v>1651</v>
      </c>
      <c r="F35" s="322" t="s">
        <v>1618</v>
      </c>
      <c r="G35" s="328"/>
      <c r="H35" s="363"/>
      <c r="K35" t="s">
        <v>1767</v>
      </c>
    </row>
    <row r="36" spans="1:11" ht="35" customHeight="1">
      <c r="A36" s="288">
        <v>18</v>
      </c>
      <c r="B36" s="288" t="s">
        <v>1755</v>
      </c>
      <c r="C36" s="394" t="str">
        <f t="shared" si="0"/>
        <v>Proprietário</v>
      </c>
      <c r="D36" s="372" t="str">
        <f>IF(OR($F$6=0,$F$6=""),"Sim","Não")</f>
        <v>Não</v>
      </c>
      <c r="E36" s="352" t="s">
        <v>1664</v>
      </c>
      <c r="F36" s="322" t="s">
        <v>1618</v>
      </c>
      <c r="G36" s="290"/>
      <c r="J36" t="s">
        <v>1762</v>
      </c>
      <c r="K36" t="s">
        <v>1768</v>
      </c>
    </row>
    <row r="37" spans="1:11" ht="35" customHeight="1">
      <c r="A37" s="321"/>
      <c r="B37" s="321"/>
      <c r="C37" s="395"/>
      <c r="D37" s="321"/>
      <c r="E37" s="391" t="s">
        <v>1793</v>
      </c>
      <c r="F37" s="321"/>
      <c r="G37" s="321"/>
    </row>
    <row r="38" spans="1:11" ht="35" customHeight="1">
      <c r="A38" s="288">
        <v>19</v>
      </c>
      <c r="B38" s="322" t="s">
        <v>1758</v>
      </c>
      <c r="C38" s="394" t="str">
        <f t="shared" ref="C38:C100" si="2">IF($I$2="Não","Proprietário",K38)</f>
        <v>Proprietário</v>
      </c>
      <c r="D38" s="372" t="str">
        <f>IF(OR($F$6=0,$F$6=""),"Sim","Não")</f>
        <v>Não</v>
      </c>
      <c r="E38" s="292" t="s">
        <v>1665</v>
      </c>
      <c r="F38" s="322" t="s">
        <v>1618</v>
      </c>
      <c r="G38" s="476" t="s">
        <v>1799</v>
      </c>
      <c r="K38" t="s">
        <v>1789</v>
      </c>
    </row>
    <row r="39" spans="1:11" ht="35" customHeight="1">
      <c r="A39" s="288">
        <v>20</v>
      </c>
      <c r="B39" s="288" t="s">
        <v>1755</v>
      </c>
      <c r="C39" s="394" t="str">
        <f t="shared" si="2"/>
        <v>Proprietário</v>
      </c>
      <c r="D39" s="372" t="s">
        <v>1613</v>
      </c>
      <c r="E39" s="349" t="s">
        <v>1623</v>
      </c>
      <c r="F39" s="322" t="s">
        <v>1618</v>
      </c>
      <c r="G39" s="364" t="s">
        <v>1735</v>
      </c>
      <c r="K39" t="s">
        <v>1789</v>
      </c>
    </row>
    <row r="40" spans="1:11" ht="35" customHeight="1">
      <c r="A40" s="288">
        <v>21</v>
      </c>
      <c r="B40" s="288" t="s">
        <v>1758</v>
      </c>
      <c r="C40" s="394" t="str">
        <f t="shared" si="2"/>
        <v>Proprietário</v>
      </c>
      <c r="D40" s="372" t="s">
        <v>1613</v>
      </c>
      <c r="E40" s="289" t="s">
        <v>1624</v>
      </c>
      <c r="F40" s="322" t="s">
        <v>1618</v>
      </c>
      <c r="G40" s="478" t="s">
        <v>1802</v>
      </c>
      <c r="K40" t="s">
        <v>1789</v>
      </c>
    </row>
    <row r="41" spans="1:11" ht="35" customHeight="1">
      <c r="A41" s="288">
        <v>22</v>
      </c>
      <c r="B41" s="288" t="s">
        <v>1755</v>
      </c>
      <c r="C41" s="394" t="str">
        <f t="shared" si="2"/>
        <v>Proprietário</v>
      </c>
      <c r="D41" s="372" t="s">
        <v>1613</v>
      </c>
      <c r="E41" s="289" t="s">
        <v>1666</v>
      </c>
      <c r="F41" s="322" t="s">
        <v>1618</v>
      </c>
      <c r="G41" s="325" t="s">
        <v>1800</v>
      </c>
      <c r="K41" t="s">
        <v>1789</v>
      </c>
    </row>
    <row r="42" spans="1:11" ht="35" customHeight="1">
      <c r="A42" s="288">
        <v>23</v>
      </c>
      <c r="B42" s="288" t="s">
        <v>1758</v>
      </c>
      <c r="C42" s="394" t="str">
        <f t="shared" si="2"/>
        <v>Proprietário</v>
      </c>
      <c r="D42" s="372" t="str">
        <f>IF(OR($F$6=0,$F$6=""),"Sim","Não")</f>
        <v>Não</v>
      </c>
      <c r="E42" s="289" t="s">
        <v>1667</v>
      </c>
      <c r="F42" s="322" t="s">
        <v>1618</v>
      </c>
      <c r="G42" s="325" t="s">
        <v>1801</v>
      </c>
      <c r="H42" s="363"/>
      <c r="K42" t="s">
        <v>1768</v>
      </c>
    </row>
    <row r="43" spans="1:11" ht="35" customHeight="1">
      <c r="A43" s="288">
        <v>24</v>
      </c>
      <c r="B43" s="288" t="s">
        <v>1755</v>
      </c>
      <c r="C43" s="394" t="str">
        <f t="shared" si="2"/>
        <v>Proprietário</v>
      </c>
      <c r="D43" s="372" t="s">
        <v>1613</v>
      </c>
      <c r="E43" s="289" t="s">
        <v>1668</v>
      </c>
      <c r="F43" s="322" t="s">
        <v>1618</v>
      </c>
      <c r="G43" s="328"/>
      <c r="H43" s="363"/>
      <c r="K43" t="s">
        <v>1789</v>
      </c>
    </row>
    <row r="44" spans="1:11" ht="35" customHeight="1">
      <c r="A44" s="288">
        <v>25</v>
      </c>
      <c r="B44" s="288" t="s">
        <v>1755</v>
      </c>
      <c r="C44" s="394" t="str">
        <f t="shared" si="2"/>
        <v>Proprietário</v>
      </c>
      <c r="D44" s="372" t="s">
        <v>1613</v>
      </c>
      <c r="E44" s="352" t="s">
        <v>1738</v>
      </c>
      <c r="F44" s="322" t="s">
        <v>1618</v>
      </c>
      <c r="G44" s="324" t="s">
        <v>1737</v>
      </c>
      <c r="H44" s="363"/>
      <c r="J44" t="s">
        <v>1762</v>
      </c>
      <c r="K44" t="s">
        <v>1789</v>
      </c>
    </row>
    <row r="45" spans="1:11" ht="35" customHeight="1">
      <c r="A45" s="288">
        <v>27</v>
      </c>
      <c r="B45" s="288" t="s">
        <v>1758</v>
      </c>
      <c r="C45" s="394" t="str">
        <f t="shared" si="2"/>
        <v>Proprietário</v>
      </c>
      <c r="D45" s="372" t="str">
        <f>IF(OR($F$6=0,$F$6=""),"Sim","Não")</f>
        <v>Não</v>
      </c>
      <c r="E45" s="289" t="s">
        <v>1729</v>
      </c>
      <c r="F45" s="322" t="s">
        <v>1618</v>
      </c>
      <c r="G45" s="328"/>
      <c r="H45" s="363"/>
      <c r="K45" t="s">
        <v>1767</v>
      </c>
    </row>
    <row r="46" spans="1:11" ht="35" customHeight="1">
      <c r="A46" s="288">
        <v>28</v>
      </c>
      <c r="B46" s="351" t="s">
        <v>1758</v>
      </c>
      <c r="C46" s="394" t="str">
        <f t="shared" si="2"/>
        <v>Proprietário</v>
      </c>
      <c r="D46" s="373" t="s">
        <v>1613</v>
      </c>
      <c r="E46" s="291" t="s">
        <v>1669</v>
      </c>
      <c r="F46" s="375" t="s">
        <v>1618</v>
      </c>
      <c r="G46" s="328"/>
      <c r="H46" s="363"/>
      <c r="K46" t="s">
        <v>1767</v>
      </c>
    </row>
    <row r="47" spans="1:11" ht="35" customHeight="1">
      <c r="A47" s="321"/>
      <c r="B47" s="321"/>
      <c r="C47" s="395"/>
      <c r="D47" s="321"/>
      <c r="E47" s="391" t="s">
        <v>1794</v>
      </c>
      <c r="F47" s="321"/>
      <c r="G47" s="321"/>
      <c r="H47" s="363"/>
    </row>
    <row r="48" spans="1:11" ht="35" customHeight="1">
      <c r="A48" s="288">
        <v>29</v>
      </c>
      <c r="B48" s="322" t="s">
        <v>1759</v>
      </c>
      <c r="C48" s="394" t="str">
        <f t="shared" si="2"/>
        <v>Proprietário</v>
      </c>
      <c r="D48" s="374" t="s">
        <v>1613</v>
      </c>
      <c r="E48" s="292" t="s">
        <v>1670</v>
      </c>
      <c r="F48" s="322" t="s">
        <v>1618</v>
      </c>
      <c r="G48" s="323"/>
      <c r="K48" t="s">
        <v>1789</v>
      </c>
    </row>
    <row r="49" spans="1:11" ht="54.5" customHeight="1">
      <c r="A49" s="288">
        <v>30</v>
      </c>
      <c r="B49" s="288" t="s">
        <v>1758</v>
      </c>
      <c r="C49" s="394" t="str">
        <f t="shared" si="2"/>
        <v>Proprietário</v>
      </c>
      <c r="D49" s="372" t="s">
        <v>1613</v>
      </c>
      <c r="E49" s="289" t="s">
        <v>1625</v>
      </c>
      <c r="F49" s="322" t="s">
        <v>1618</v>
      </c>
      <c r="G49" s="328"/>
      <c r="H49" s="363"/>
      <c r="K49" t="s">
        <v>1790</v>
      </c>
    </row>
    <row r="50" spans="1:11" ht="35" customHeight="1">
      <c r="A50" s="288">
        <v>31</v>
      </c>
      <c r="B50" s="288" t="s">
        <v>1755</v>
      </c>
      <c r="C50" s="394" t="str">
        <f t="shared" si="2"/>
        <v>Proprietário</v>
      </c>
      <c r="D50" s="372" t="s">
        <v>1613</v>
      </c>
      <c r="E50" s="289" t="s">
        <v>1671</v>
      </c>
      <c r="F50" s="322" t="s">
        <v>1618</v>
      </c>
      <c r="G50" s="327"/>
      <c r="H50" s="363"/>
      <c r="K50" t="s">
        <v>1768</v>
      </c>
    </row>
    <row r="51" spans="1:11" ht="35" customHeight="1">
      <c r="A51" s="288">
        <v>32</v>
      </c>
      <c r="B51" s="288" t="s">
        <v>1758</v>
      </c>
      <c r="C51" s="394" t="str">
        <f t="shared" si="2"/>
        <v>Proprietário</v>
      </c>
      <c r="D51" s="372" t="s">
        <v>1613</v>
      </c>
      <c r="E51" s="352" t="s">
        <v>1672</v>
      </c>
      <c r="F51" s="322" t="s">
        <v>1618</v>
      </c>
      <c r="G51" s="329"/>
      <c r="H51" s="363"/>
      <c r="J51" t="s">
        <v>1762</v>
      </c>
      <c r="K51" t="s">
        <v>1768</v>
      </c>
    </row>
    <row r="52" spans="1:11" ht="35" customHeight="1">
      <c r="A52" s="288">
        <v>33</v>
      </c>
      <c r="B52" s="288" t="s">
        <v>1755</v>
      </c>
      <c r="C52" s="394" t="str">
        <f t="shared" si="2"/>
        <v>Proprietário</v>
      </c>
      <c r="D52" s="372" t="str">
        <f t="shared" ref="D52:D53" si="3">IF(OR($F$6=0,$F$6=""),"Sim","Não")</f>
        <v>Não</v>
      </c>
      <c r="E52" s="352" t="s">
        <v>1673</v>
      </c>
      <c r="F52" s="322" t="s">
        <v>1618</v>
      </c>
      <c r="G52" s="323"/>
      <c r="H52" s="363"/>
      <c r="J52" t="s">
        <v>1762</v>
      </c>
      <c r="K52" t="s">
        <v>1768</v>
      </c>
    </row>
    <row r="53" spans="1:11" ht="35" customHeight="1">
      <c r="A53" s="288">
        <v>34</v>
      </c>
      <c r="B53" s="288" t="s">
        <v>1755</v>
      </c>
      <c r="C53" s="394" t="str">
        <f t="shared" si="2"/>
        <v>Proprietário</v>
      </c>
      <c r="D53" s="372" t="str">
        <f t="shared" si="3"/>
        <v>Não</v>
      </c>
      <c r="E53" s="289" t="s">
        <v>1674</v>
      </c>
      <c r="F53" s="322" t="s">
        <v>1618</v>
      </c>
      <c r="G53" s="327" t="s">
        <v>1739</v>
      </c>
      <c r="H53" s="363"/>
      <c r="K53" t="s">
        <v>1768</v>
      </c>
    </row>
    <row r="54" spans="1:11" ht="35" customHeight="1">
      <c r="A54" s="288">
        <v>35</v>
      </c>
      <c r="B54" s="288" t="s">
        <v>1755</v>
      </c>
      <c r="C54" s="394" t="str">
        <f t="shared" si="2"/>
        <v>Proprietário</v>
      </c>
      <c r="D54" s="372" t="s">
        <v>1613</v>
      </c>
      <c r="E54" s="289" t="s">
        <v>1675</v>
      </c>
      <c r="F54" s="322" t="s">
        <v>1618</v>
      </c>
      <c r="G54" s="323"/>
      <c r="H54" s="363"/>
      <c r="K54" t="s">
        <v>1767</v>
      </c>
    </row>
    <row r="55" spans="1:11" ht="35" customHeight="1">
      <c r="A55" s="288">
        <v>36</v>
      </c>
      <c r="B55" s="288" t="s">
        <v>1755</v>
      </c>
      <c r="C55" s="394" t="str">
        <f t="shared" si="2"/>
        <v>Proprietário</v>
      </c>
      <c r="D55" s="372" t="s">
        <v>1613</v>
      </c>
      <c r="E55" s="469" t="s">
        <v>1676</v>
      </c>
      <c r="F55" s="322" t="s">
        <v>1618</v>
      </c>
      <c r="G55" s="330"/>
      <c r="K55" t="s">
        <v>1789</v>
      </c>
    </row>
    <row r="56" spans="1:11" ht="35" customHeight="1">
      <c r="A56" s="288">
        <v>37</v>
      </c>
      <c r="B56" s="288" t="s">
        <v>1755</v>
      </c>
      <c r="C56" s="394" t="str">
        <f t="shared" si="2"/>
        <v>Proprietário</v>
      </c>
      <c r="D56" s="372" t="s">
        <v>1613</v>
      </c>
      <c r="E56" s="469" t="s">
        <v>1677</v>
      </c>
      <c r="F56" s="322" t="s">
        <v>1618</v>
      </c>
      <c r="G56" s="365"/>
      <c r="K56" t="s">
        <v>1789</v>
      </c>
    </row>
    <row r="57" spans="1:11" ht="35" customHeight="1">
      <c r="A57" s="288">
        <v>38</v>
      </c>
      <c r="B57" s="351" t="s">
        <v>1758</v>
      </c>
      <c r="C57" s="394" t="str">
        <f t="shared" si="2"/>
        <v>Proprietário</v>
      </c>
      <c r="D57" s="372" t="s">
        <v>1613</v>
      </c>
      <c r="E57" s="319" t="s">
        <v>1753</v>
      </c>
      <c r="F57" s="322" t="s">
        <v>1618</v>
      </c>
      <c r="G57" s="328"/>
      <c r="K57" t="s">
        <v>1767</v>
      </c>
    </row>
    <row r="58" spans="1:11" ht="35" customHeight="1">
      <c r="A58" s="321"/>
      <c r="B58" s="321"/>
      <c r="C58" s="393"/>
      <c r="D58" s="321"/>
      <c r="E58" s="391" t="s">
        <v>1792</v>
      </c>
      <c r="F58" s="321"/>
      <c r="G58" s="321"/>
    </row>
    <row r="59" spans="1:11" ht="35" customHeight="1">
      <c r="A59" s="288">
        <v>39</v>
      </c>
      <c r="B59" s="322" t="s">
        <v>1755</v>
      </c>
      <c r="C59" s="394" t="str">
        <f t="shared" si="2"/>
        <v>Proprietário</v>
      </c>
      <c r="D59" s="372" t="s">
        <v>1613</v>
      </c>
      <c r="E59" s="292" t="s">
        <v>1626</v>
      </c>
      <c r="F59" s="322" t="s">
        <v>1618</v>
      </c>
      <c r="G59" s="323" t="s">
        <v>1741</v>
      </c>
      <c r="H59" s="363"/>
      <c r="K59" t="s">
        <v>1789</v>
      </c>
    </row>
    <row r="60" spans="1:11" ht="35" customHeight="1">
      <c r="A60" s="288">
        <v>40</v>
      </c>
      <c r="B60" s="288" t="s">
        <v>1758</v>
      </c>
      <c r="C60" s="394" t="str">
        <f t="shared" si="2"/>
        <v>Proprietário</v>
      </c>
      <c r="D60" s="372" t="s">
        <v>1613</v>
      </c>
      <c r="E60" s="352" t="s">
        <v>1627</v>
      </c>
      <c r="F60" s="322" t="s">
        <v>1618</v>
      </c>
      <c r="G60" s="328"/>
      <c r="H60" s="363"/>
      <c r="J60" t="s">
        <v>1762</v>
      </c>
      <c r="K60" t="s">
        <v>1767</v>
      </c>
    </row>
    <row r="61" spans="1:11" ht="35" customHeight="1">
      <c r="A61" s="288">
        <v>41</v>
      </c>
      <c r="B61" s="288" t="s">
        <v>1755</v>
      </c>
      <c r="C61" s="394" t="str">
        <f t="shared" si="2"/>
        <v>Proprietário</v>
      </c>
      <c r="D61" s="372" t="s">
        <v>1613</v>
      </c>
      <c r="E61" s="352" t="s">
        <v>1678</v>
      </c>
      <c r="F61" s="322" t="s">
        <v>1618</v>
      </c>
      <c r="G61" s="327" t="s">
        <v>1733</v>
      </c>
      <c r="H61" s="363"/>
      <c r="J61" t="s">
        <v>1762</v>
      </c>
      <c r="K61" t="s">
        <v>1789</v>
      </c>
    </row>
    <row r="62" spans="1:11" ht="35" customHeight="1">
      <c r="A62" s="288">
        <v>42</v>
      </c>
      <c r="B62" s="288" t="s">
        <v>1755</v>
      </c>
      <c r="C62" s="394" t="str">
        <f t="shared" si="2"/>
        <v>Proprietário</v>
      </c>
      <c r="D62" s="372" t="s">
        <v>1613</v>
      </c>
      <c r="E62" s="349" t="s">
        <v>1723</v>
      </c>
      <c r="F62" s="322" t="s">
        <v>1618</v>
      </c>
      <c r="G62" s="328" t="s">
        <v>1741</v>
      </c>
      <c r="H62" s="363"/>
      <c r="K62" t="s">
        <v>1789</v>
      </c>
    </row>
    <row r="63" spans="1:11" ht="35" customHeight="1">
      <c r="A63" s="288">
        <v>44</v>
      </c>
      <c r="B63" s="288" t="s">
        <v>1755</v>
      </c>
      <c r="C63" s="394" t="str">
        <f t="shared" si="2"/>
        <v>Proprietário</v>
      </c>
      <c r="D63" s="372" t="s">
        <v>1613</v>
      </c>
      <c r="E63" s="289" t="s">
        <v>1679</v>
      </c>
      <c r="F63" s="322" t="s">
        <v>1618</v>
      </c>
      <c r="G63" s="328"/>
      <c r="K63" t="s">
        <v>1789</v>
      </c>
    </row>
    <row r="64" spans="1:11" ht="35" customHeight="1">
      <c r="A64" s="288">
        <v>45</v>
      </c>
      <c r="B64" s="288" t="s">
        <v>1755</v>
      </c>
      <c r="C64" s="394" t="str">
        <f t="shared" si="2"/>
        <v>Proprietário</v>
      </c>
      <c r="D64" s="372" t="s">
        <v>1613</v>
      </c>
      <c r="E64" s="352" t="s">
        <v>1680</v>
      </c>
      <c r="F64" s="322" t="s">
        <v>1618</v>
      </c>
      <c r="G64" s="324" t="s">
        <v>1742</v>
      </c>
      <c r="H64" s="363"/>
      <c r="J64" t="s">
        <v>1762</v>
      </c>
      <c r="K64" t="s">
        <v>1789</v>
      </c>
    </row>
    <row r="65" spans="1:11" ht="35" customHeight="1">
      <c r="A65" s="288">
        <v>46</v>
      </c>
      <c r="B65" s="288" t="s">
        <v>1755</v>
      </c>
      <c r="C65" s="394" t="str">
        <f t="shared" si="2"/>
        <v>Proprietário</v>
      </c>
      <c r="D65" s="372" t="s">
        <v>1613</v>
      </c>
      <c r="E65" s="289" t="s">
        <v>1681</v>
      </c>
      <c r="F65" s="322" t="s">
        <v>1618</v>
      </c>
      <c r="G65" s="328" t="s">
        <v>1742</v>
      </c>
      <c r="H65" s="363"/>
      <c r="K65" t="s">
        <v>1789</v>
      </c>
    </row>
    <row r="66" spans="1:11" ht="35" customHeight="1">
      <c r="A66" s="288">
        <v>47</v>
      </c>
      <c r="B66" s="288" t="s">
        <v>1755</v>
      </c>
      <c r="C66" s="394" t="str">
        <f t="shared" si="2"/>
        <v>Proprietário</v>
      </c>
      <c r="D66" s="372" t="s">
        <v>1613</v>
      </c>
      <c r="E66" s="289" t="s">
        <v>1682</v>
      </c>
      <c r="F66" s="322" t="s">
        <v>1618</v>
      </c>
      <c r="G66" s="327" t="s">
        <v>1732</v>
      </c>
      <c r="H66" s="363"/>
      <c r="K66" t="s">
        <v>1789</v>
      </c>
    </row>
    <row r="67" spans="1:11" ht="51.5" customHeight="1">
      <c r="A67" s="288">
        <v>48</v>
      </c>
      <c r="B67" s="288" t="s">
        <v>1755</v>
      </c>
      <c r="C67" s="394" t="str">
        <f t="shared" si="2"/>
        <v>Proprietário</v>
      </c>
      <c r="D67" s="372" t="s">
        <v>1613</v>
      </c>
      <c r="E67" s="289" t="s">
        <v>1744</v>
      </c>
      <c r="F67" s="322" t="s">
        <v>1618</v>
      </c>
      <c r="G67" s="328" t="s">
        <v>1743</v>
      </c>
      <c r="H67" s="363"/>
      <c r="K67" t="s">
        <v>1789</v>
      </c>
    </row>
    <row r="68" spans="1:11" ht="35" customHeight="1">
      <c r="A68" s="288">
        <v>49</v>
      </c>
      <c r="B68" s="288" t="s">
        <v>1755</v>
      </c>
      <c r="C68" s="394" t="str">
        <f t="shared" si="2"/>
        <v>Proprietário</v>
      </c>
      <c r="D68" s="372" t="s">
        <v>1613</v>
      </c>
      <c r="E68" s="289" t="s">
        <v>1628</v>
      </c>
      <c r="F68" s="322" t="s">
        <v>1618</v>
      </c>
      <c r="G68" s="325"/>
      <c r="H68" s="363"/>
      <c r="K68" t="s">
        <v>1789</v>
      </c>
    </row>
    <row r="69" spans="1:11" ht="35" customHeight="1">
      <c r="A69" s="288">
        <v>50</v>
      </c>
      <c r="B69" s="288" t="s">
        <v>1755</v>
      </c>
      <c r="C69" s="394" t="str">
        <f t="shared" si="2"/>
        <v>Proprietário</v>
      </c>
      <c r="D69" s="372" t="s">
        <v>1613</v>
      </c>
      <c r="E69" s="289" t="s">
        <v>1683</v>
      </c>
      <c r="F69" s="322" t="s">
        <v>1618</v>
      </c>
      <c r="G69" s="328"/>
      <c r="K69" t="s">
        <v>1767</v>
      </c>
    </row>
    <row r="70" spans="1:11" ht="35" customHeight="1">
      <c r="A70" s="288">
        <v>51</v>
      </c>
      <c r="B70" s="351" t="s">
        <v>1755</v>
      </c>
      <c r="C70" s="394" t="str">
        <f t="shared" si="2"/>
        <v>Proprietário</v>
      </c>
      <c r="D70" s="372" t="s">
        <v>1613</v>
      </c>
      <c r="E70" s="319" t="s">
        <v>1629</v>
      </c>
      <c r="F70" s="322" t="s">
        <v>1618</v>
      </c>
      <c r="G70" s="323"/>
      <c r="H70" s="363"/>
      <c r="K70" t="s">
        <v>1767</v>
      </c>
    </row>
    <row r="71" spans="1:11" ht="35" customHeight="1">
      <c r="A71" s="320"/>
      <c r="B71" s="321"/>
      <c r="C71" s="395"/>
      <c r="D71" s="321"/>
      <c r="E71" s="391" t="s">
        <v>1795</v>
      </c>
      <c r="F71" s="321"/>
      <c r="G71" s="321"/>
    </row>
    <row r="72" spans="1:11" ht="35" customHeight="1">
      <c r="A72" s="288">
        <v>52</v>
      </c>
      <c r="B72" s="322" t="s">
        <v>1755</v>
      </c>
      <c r="C72" s="394" t="str">
        <f t="shared" si="2"/>
        <v>Proprietário</v>
      </c>
      <c r="D72" s="372" t="s">
        <v>1613</v>
      </c>
      <c r="E72" s="292" t="s">
        <v>1685</v>
      </c>
      <c r="F72" s="322" t="s">
        <v>1618</v>
      </c>
      <c r="G72" s="323" t="s">
        <v>1746</v>
      </c>
      <c r="H72" s="363"/>
      <c r="K72" t="s">
        <v>1768</v>
      </c>
    </row>
    <row r="73" spans="1:11" ht="35" customHeight="1">
      <c r="A73" s="288">
        <v>53</v>
      </c>
      <c r="B73" s="288" t="s">
        <v>1755</v>
      </c>
      <c r="C73" s="394" t="str">
        <f t="shared" si="2"/>
        <v>Proprietário</v>
      </c>
      <c r="D73" s="372" t="str">
        <f t="shared" ref="D73:D74" si="4">IF(OR($F$6=0,$F$6=""),"Sim","Não")</f>
        <v>Não</v>
      </c>
      <c r="E73" s="352" t="s">
        <v>1686</v>
      </c>
      <c r="F73" s="322" t="s">
        <v>1618</v>
      </c>
      <c r="G73" s="366" t="s">
        <v>1745</v>
      </c>
      <c r="J73" t="s">
        <v>1762</v>
      </c>
      <c r="K73" t="s">
        <v>1768</v>
      </c>
    </row>
    <row r="74" spans="1:11" ht="35" customHeight="1">
      <c r="A74" s="288">
        <v>54</v>
      </c>
      <c r="B74" s="288" t="s">
        <v>1755</v>
      </c>
      <c r="C74" s="394" t="str">
        <f t="shared" si="2"/>
        <v>Proprietário</v>
      </c>
      <c r="D74" s="372" t="str">
        <f t="shared" si="4"/>
        <v>Não</v>
      </c>
      <c r="E74" s="289" t="s">
        <v>1687</v>
      </c>
      <c r="F74" s="322" t="s">
        <v>1618</v>
      </c>
      <c r="G74" s="323"/>
      <c r="K74" t="s">
        <v>1768</v>
      </c>
    </row>
    <row r="75" spans="1:11" ht="35" customHeight="1">
      <c r="A75" s="288">
        <v>55</v>
      </c>
      <c r="B75" s="288" t="s">
        <v>1755</v>
      </c>
      <c r="C75" s="394" t="str">
        <f t="shared" si="2"/>
        <v>Proprietário</v>
      </c>
      <c r="D75" s="372" t="s">
        <v>1613</v>
      </c>
      <c r="E75" s="289" t="s">
        <v>1688</v>
      </c>
      <c r="F75" s="322" t="s">
        <v>1618</v>
      </c>
      <c r="G75" s="323" t="s">
        <v>1746</v>
      </c>
      <c r="H75" s="363"/>
      <c r="K75" t="s">
        <v>1789</v>
      </c>
    </row>
    <row r="76" spans="1:11" ht="35" customHeight="1">
      <c r="A76" s="288">
        <v>56</v>
      </c>
      <c r="B76" s="288" t="s">
        <v>1755</v>
      </c>
      <c r="C76" s="394" t="str">
        <f t="shared" si="2"/>
        <v>Proprietário</v>
      </c>
      <c r="D76" s="372" t="s">
        <v>1613</v>
      </c>
      <c r="E76" s="289" t="s">
        <v>1689</v>
      </c>
      <c r="F76" s="322" t="s">
        <v>1618</v>
      </c>
      <c r="G76" s="366"/>
      <c r="K76" t="s">
        <v>1790</v>
      </c>
    </row>
    <row r="77" spans="1:11" ht="35" customHeight="1">
      <c r="A77" s="288">
        <v>57</v>
      </c>
      <c r="B77" s="288" t="s">
        <v>1755</v>
      </c>
      <c r="C77" s="394" t="str">
        <f t="shared" si="2"/>
        <v>Proprietário</v>
      </c>
      <c r="D77" s="372" t="s">
        <v>1613</v>
      </c>
      <c r="E77" s="469" t="s">
        <v>1690</v>
      </c>
      <c r="F77" s="322" t="s">
        <v>1618</v>
      </c>
      <c r="G77" s="323"/>
      <c r="H77" s="363"/>
      <c r="K77" t="s">
        <v>1789</v>
      </c>
    </row>
    <row r="78" spans="1:11" ht="35" customHeight="1">
      <c r="A78" s="288">
        <v>58</v>
      </c>
      <c r="B78" s="351" t="s">
        <v>1759</v>
      </c>
      <c r="C78" s="394" t="str">
        <f t="shared" si="2"/>
        <v>Proprietário</v>
      </c>
      <c r="D78" s="372" t="s">
        <v>1613</v>
      </c>
      <c r="E78" s="471" t="s">
        <v>1747</v>
      </c>
      <c r="F78" s="322" t="s">
        <v>1618</v>
      </c>
      <c r="G78" s="323" t="s">
        <v>1750</v>
      </c>
      <c r="H78" s="363"/>
      <c r="K78" t="s">
        <v>1767</v>
      </c>
    </row>
    <row r="79" spans="1:11" ht="35" customHeight="1">
      <c r="A79" s="288">
        <v>59</v>
      </c>
      <c r="B79" s="351" t="s">
        <v>1755</v>
      </c>
      <c r="C79" s="394" t="str">
        <f t="shared" si="2"/>
        <v>Proprietário</v>
      </c>
      <c r="D79" s="372" t="s">
        <v>1613</v>
      </c>
      <c r="E79" s="291" t="s">
        <v>1748</v>
      </c>
      <c r="F79" s="322" t="s">
        <v>1618</v>
      </c>
      <c r="G79" s="323" t="s">
        <v>1749</v>
      </c>
      <c r="K79" t="s">
        <v>1767</v>
      </c>
    </row>
    <row r="80" spans="1:11" ht="35" customHeight="1">
      <c r="A80" s="320"/>
      <c r="B80" s="321"/>
      <c r="C80" s="395"/>
      <c r="D80" s="321"/>
      <c r="E80" s="391" t="s">
        <v>1796</v>
      </c>
      <c r="F80" s="321"/>
      <c r="G80" s="321"/>
      <c r="H80" s="363"/>
    </row>
    <row r="81" spans="1:11" ht="35" customHeight="1">
      <c r="A81" s="288">
        <v>60</v>
      </c>
      <c r="B81" s="322" t="s">
        <v>1755</v>
      </c>
      <c r="C81" s="394" t="str">
        <f t="shared" si="2"/>
        <v>Proprietário</v>
      </c>
      <c r="D81" s="372" t="s">
        <v>1613</v>
      </c>
      <c r="E81" s="353" t="s">
        <v>1691</v>
      </c>
      <c r="F81" s="322" t="s">
        <v>1618</v>
      </c>
      <c r="G81" s="323"/>
      <c r="H81" s="363"/>
      <c r="J81" t="s">
        <v>1762</v>
      </c>
      <c r="K81" t="s">
        <v>1789</v>
      </c>
    </row>
    <row r="82" spans="1:11" ht="35" customHeight="1">
      <c r="A82" s="288">
        <v>61</v>
      </c>
      <c r="B82" s="288" t="s">
        <v>1755</v>
      </c>
      <c r="C82" s="394" t="str">
        <f t="shared" si="2"/>
        <v>Proprietário</v>
      </c>
      <c r="D82" s="372" t="s">
        <v>1613</v>
      </c>
      <c r="E82" s="352" t="s">
        <v>1692</v>
      </c>
      <c r="F82" s="322" t="s">
        <v>1618</v>
      </c>
      <c r="G82" s="366" t="s">
        <v>1741</v>
      </c>
      <c r="J82" t="s">
        <v>1762</v>
      </c>
      <c r="K82" t="s">
        <v>1789</v>
      </c>
    </row>
    <row r="83" spans="1:11" ht="35" customHeight="1">
      <c r="A83" s="294">
        <v>62</v>
      </c>
      <c r="B83" s="288" t="s">
        <v>1755</v>
      </c>
      <c r="C83" s="394" t="str">
        <f t="shared" si="2"/>
        <v>Proprietário</v>
      </c>
      <c r="D83" s="372" t="s">
        <v>1613</v>
      </c>
      <c r="E83" s="347" t="s">
        <v>1693</v>
      </c>
      <c r="F83" s="322" t="s">
        <v>1618</v>
      </c>
      <c r="G83" s="323"/>
      <c r="H83" s="363"/>
      <c r="J83" t="s">
        <v>1762</v>
      </c>
      <c r="K83" t="s">
        <v>1789</v>
      </c>
    </row>
    <row r="84" spans="1:11" ht="35" customHeight="1">
      <c r="A84" s="321"/>
      <c r="B84" s="321"/>
      <c r="C84" s="395"/>
      <c r="D84" s="321"/>
      <c r="E84" s="391" t="s">
        <v>1694</v>
      </c>
      <c r="F84" s="321"/>
      <c r="G84" s="321"/>
    </row>
    <row r="85" spans="1:11" ht="35" customHeight="1">
      <c r="A85" s="288">
        <v>63</v>
      </c>
      <c r="B85" s="322" t="s">
        <v>1755</v>
      </c>
      <c r="C85" s="394" t="str">
        <f t="shared" si="2"/>
        <v>Proprietário</v>
      </c>
      <c r="D85" s="372" t="s">
        <v>1613</v>
      </c>
      <c r="E85" s="292" t="s">
        <v>1695</v>
      </c>
      <c r="F85" s="322" t="s">
        <v>1618</v>
      </c>
      <c r="G85" s="366"/>
      <c r="K85" t="s">
        <v>1767</v>
      </c>
    </row>
    <row r="86" spans="1:11" ht="35" customHeight="1">
      <c r="A86" s="288">
        <v>64</v>
      </c>
      <c r="B86" s="288" t="s">
        <v>1759</v>
      </c>
      <c r="C86" s="394" t="str">
        <f t="shared" si="2"/>
        <v>Proprietário</v>
      </c>
      <c r="D86" s="372" t="s">
        <v>1613</v>
      </c>
      <c r="E86" s="289" t="s">
        <v>1696</v>
      </c>
      <c r="F86" s="322" t="s">
        <v>1618</v>
      </c>
      <c r="G86" s="366"/>
      <c r="K86" t="s">
        <v>1767</v>
      </c>
    </row>
    <row r="87" spans="1:11" ht="35" customHeight="1">
      <c r="A87" s="288">
        <v>65</v>
      </c>
      <c r="B87" s="288" t="s">
        <v>1755</v>
      </c>
      <c r="C87" s="394" t="str">
        <f t="shared" si="2"/>
        <v>Proprietário</v>
      </c>
      <c r="D87" s="372" t="str">
        <f t="shared" ref="D87:D88" si="5">IF(OR($F$6=0,$F$6=""),"Sim","Não")</f>
        <v>Não</v>
      </c>
      <c r="E87" s="352" t="s">
        <v>1721</v>
      </c>
      <c r="F87" s="322" t="s">
        <v>1618</v>
      </c>
      <c r="G87" s="366" t="s">
        <v>1740</v>
      </c>
      <c r="K87" t="s">
        <v>1768</v>
      </c>
    </row>
    <row r="88" spans="1:11" ht="35" customHeight="1">
      <c r="A88" s="288">
        <v>67</v>
      </c>
      <c r="B88" s="288" t="s">
        <v>1759</v>
      </c>
      <c r="C88" s="394" t="str">
        <f t="shared" si="2"/>
        <v>Proprietário</v>
      </c>
      <c r="D88" s="372" t="str">
        <f t="shared" si="5"/>
        <v>Não</v>
      </c>
      <c r="E88" s="289" t="s">
        <v>1697</v>
      </c>
      <c r="F88" s="322" t="s">
        <v>1618</v>
      </c>
      <c r="G88" s="366"/>
      <c r="K88" t="s">
        <v>1768</v>
      </c>
    </row>
    <row r="89" spans="1:11" ht="35" customHeight="1">
      <c r="A89" s="288">
        <v>68</v>
      </c>
      <c r="B89" s="288" t="s">
        <v>1755</v>
      </c>
      <c r="C89" s="394" t="str">
        <f t="shared" si="2"/>
        <v>Proprietário</v>
      </c>
      <c r="D89" s="372" t="s">
        <v>1613</v>
      </c>
      <c r="E89" s="289" t="s">
        <v>1798</v>
      </c>
      <c r="F89" s="322" t="s">
        <v>1618</v>
      </c>
      <c r="G89" s="366"/>
      <c r="K89" t="s">
        <v>1767</v>
      </c>
    </row>
    <row r="90" spans="1:11" ht="35" customHeight="1">
      <c r="A90" s="288">
        <v>69</v>
      </c>
      <c r="B90" s="288" t="s">
        <v>1759</v>
      </c>
      <c r="C90" s="394" t="str">
        <f t="shared" si="2"/>
        <v>Proprietário</v>
      </c>
      <c r="D90" s="372" t="s">
        <v>1613</v>
      </c>
      <c r="E90" s="289" t="s">
        <v>1698</v>
      </c>
      <c r="F90" s="322" t="s">
        <v>1618</v>
      </c>
      <c r="G90" s="366"/>
      <c r="K90" t="s">
        <v>1767</v>
      </c>
    </row>
    <row r="91" spans="1:11" ht="18.5">
      <c r="A91" s="288">
        <v>70</v>
      </c>
      <c r="B91" s="288" t="s">
        <v>1759</v>
      </c>
      <c r="C91" s="394" t="str">
        <f t="shared" si="2"/>
        <v>Proprietário</v>
      </c>
      <c r="D91" s="372" t="s">
        <v>1613</v>
      </c>
      <c r="E91" s="285" t="s">
        <v>1630</v>
      </c>
      <c r="F91" s="322" t="s">
        <v>1618</v>
      </c>
      <c r="G91" s="367"/>
      <c r="K91" t="s">
        <v>1790</v>
      </c>
    </row>
    <row r="92" spans="1:11" ht="35" customHeight="1">
      <c r="A92" s="288">
        <v>71</v>
      </c>
      <c r="B92" s="288" t="s">
        <v>1755</v>
      </c>
      <c r="C92" s="394" t="str">
        <f t="shared" si="2"/>
        <v>Proprietário</v>
      </c>
      <c r="D92" s="372" t="s">
        <v>1613</v>
      </c>
      <c r="E92" s="352" t="s">
        <v>1699</v>
      </c>
      <c r="F92" s="322" t="s">
        <v>1618</v>
      </c>
      <c r="G92" s="323"/>
      <c r="K92" t="s">
        <v>1789</v>
      </c>
    </row>
    <row r="93" spans="1:11" ht="35" customHeight="1">
      <c r="A93" s="288">
        <v>72</v>
      </c>
      <c r="B93" s="288" t="s">
        <v>1759</v>
      </c>
      <c r="C93" s="394" t="str">
        <f t="shared" si="2"/>
        <v>Proprietário</v>
      </c>
      <c r="D93" s="372" t="s">
        <v>1613</v>
      </c>
      <c r="E93" s="289" t="s">
        <v>1631</v>
      </c>
      <c r="F93" s="322" t="s">
        <v>1618</v>
      </c>
      <c r="G93" s="366"/>
      <c r="K93" s="392" t="s">
        <v>1301</v>
      </c>
    </row>
    <row r="94" spans="1:11" ht="35" customHeight="1">
      <c r="A94" s="288">
        <v>73</v>
      </c>
      <c r="B94" s="355" t="s">
        <v>1755</v>
      </c>
      <c r="C94" s="394" t="str">
        <f t="shared" si="2"/>
        <v>Proprietário</v>
      </c>
      <c r="D94" s="372" t="s">
        <v>1613</v>
      </c>
      <c r="E94" s="293" t="s">
        <v>1632</v>
      </c>
      <c r="F94" s="322" t="s">
        <v>1618</v>
      </c>
      <c r="G94" s="366"/>
      <c r="K94" t="s">
        <v>1767</v>
      </c>
    </row>
    <row r="95" spans="1:11" ht="35" customHeight="1">
      <c r="A95" s="321"/>
      <c r="B95" s="321"/>
      <c r="C95" s="395"/>
      <c r="D95" s="321"/>
      <c r="E95" s="391" t="s">
        <v>1791</v>
      </c>
      <c r="F95" s="321"/>
      <c r="G95" s="321"/>
      <c r="H95" s="363"/>
    </row>
    <row r="96" spans="1:11" ht="35" customHeight="1">
      <c r="A96" s="288">
        <v>75</v>
      </c>
      <c r="B96" s="322" t="s">
        <v>1755</v>
      </c>
      <c r="C96" s="394" t="str">
        <f t="shared" si="2"/>
        <v>Proprietário</v>
      </c>
      <c r="D96" s="372" t="str">
        <f>IF(OR($F$6=0,$F$6=""),"Sim","Não")</f>
        <v>Não</v>
      </c>
      <c r="E96" s="353" t="s">
        <v>1797</v>
      </c>
      <c r="F96" s="322" t="s">
        <v>1618</v>
      </c>
      <c r="G96" s="323"/>
      <c r="H96" s="363"/>
      <c r="K96" t="s">
        <v>1789</v>
      </c>
    </row>
    <row r="97" spans="1:11" ht="35" customHeight="1">
      <c r="A97" s="288">
        <v>76</v>
      </c>
      <c r="B97" s="356" t="s">
        <v>1301</v>
      </c>
      <c r="C97" s="394" t="str">
        <f t="shared" si="2"/>
        <v>Proprietário</v>
      </c>
      <c r="D97" s="372" t="s">
        <v>1613</v>
      </c>
      <c r="E97" s="468" t="s">
        <v>1700</v>
      </c>
      <c r="F97" s="322" t="s">
        <v>1618</v>
      </c>
      <c r="G97" s="366"/>
      <c r="J97" t="s">
        <v>1762</v>
      </c>
      <c r="K97" t="s">
        <v>1789</v>
      </c>
    </row>
    <row r="98" spans="1:11" ht="35" customHeight="1">
      <c r="A98" s="288">
        <v>77</v>
      </c>
      <c r="B98" s="288" t="s">
        <v>1759</v>
      </c>
      <c r="C98" s="394" t="str">
        <f t="shared" si="2"/>
        <v>Proprietário</v>
      </c>
      <c r="D98" s="372" t="s">
        <v>1613</v>
      </c>
      <c r="E98" s="469" t="s">
        <v>1701</v>
      </c>
      <c r="F98" s="322" t="s">
        <v>1618</v>
      </c>
      <c r="G98" s="366"/>
      <c r="K98" t="s">
        <v>1789</v>
      </c>
    </row>
    <row r="99" spans="1:11" ht="35" customHeight="1">
      <c r="A99" s="288">
        <v>78</v>
      </c>
      <c r="B99" s="288" t="s">
        <v>1755</v>
      </c>
      <c r="C99" s="394" t="str">
        <f t="shared" si="2"/>
        <v>Proprietário</v>
      </c>
      <c r="D99" s="372" t="s">
        <v>1613</v>
      </c>
      <c r="E99" s="469" t="s">
        <v>1702</v>
      </c>
      <c r="F99" s="322" t="s">
        <v>1618</v>
      </c>
      <c r="G99" s="366"/>
      <c r="K99" t="s">
        <v>1789</v>
      </c>
    </row>
    <row r="100" spans="1:11" ht="35" customHeight="1">
      <c r="A100" s="288">
        <v>79</v>
      </c>
      <c r="B100" s="288" t="s">
        <v>1755</v>
      </c>
      <c r="C100" s="394" t="str">
        <f t="shared" si="2"/>
        <v>Proprietário</v>
      </c>
      <c r="D100" s="372" t="s">
        <v>1613</v>
      </c>
      <c r="E100" s="470" t="s">
        <v>1752</v>
      </c>
      <c r="F100" s="322" t="s">
        <v>1618</v>
      </c>
      <c r="G100" s="366"/>
      <c r="K100" t="s">
        <v>1767</v>
      </c>
    </row>
    <row r="101" spans="1:11" ht="35" customHeight="1">
      <c r="A101" s="288">
        <v>80</v>
      </c>
      <c r="B101" s="351" t="s">
        <v>1759</v>
      </c>
      <c r="C101" s="394" t="str">
        <f t="shared" ref="C101:C105" si="6">IF($I$2="Não","Proprietário",K101)</f>
        <v>Proprietário</v>
      </c>
      <c r="D101" s="372" t="s">
        <v>1613</v>
      </c>
      <c r="E101" s="471" t="s">
        <v>1633</v>
      </c>
      <c r="F101" s="322" t="s">
        <v>1618</v>
      </c>
      <c r="G101" s="366"/>
      <c r="K101" t="s">
        <v>1767</v>
      </c>
    </row>
    <row r="102" spans="1:11" ht="35" customHeight="1">
      <c r="A102" s="288">
        <v>81</v>
      </c>
      <c r="B102" s="355" t="s">
        <v>1755</v>
      </c>
      <c r="C102" s="394" t="str">
        <f t="shared" si="6"/>
        <v>Proprietário</v>
      </c>
      <c r="D102" s="372" t="s">
        <v>1613</v>
      </c>
      <c r="E102" s="472" t="s">
        <v>1703</v>
      </c>
      <c r="F102" s="322" t="s">
        <v>1618</v>
      </c>
      <c r="G102" s="366"/>
      <c r="K102" t="s">
        <v>1790</v>
      </c>
    </row>
    <row r="103" spans="1:11" ht="35" customHeight="1">
      <c r="A103" s="288">
        <v>82</v>
      </c>
      <c r="B103" s="288" t="s">
        <v>1755</v>
      </c>
      <c r="C103" s="394" t="str">
        <f t="shared" si="6"/>
        <v>Proprietário</v>
      </c>
      <c r="D103" s="372" t="s">
        <v>1613</v>
      </c>
      <c r="E103" s="468" t="s">
        <v>1704</v>
      </c>
      <c r="F103" s="322" t="s">
        <v>1618</v>
      </c>
      <c r="G103" s="366"/>
      <c r="K103" t="s">
        <v>1767</v>
      </c>
    </row>
    <row r="104" spans="1:11" ht="35" customHeight="1">
      <c r="A104" s="288">
        <v>83</v>
      </c>
      <c r="B104" s="356" t="s">
        <v>1301</v>
      </c>
      <c r="C104" s="394" t="str">
        <f t="shared" si="6"/>
        <v>Proprietário</v>
      </c>
      <c r="D104" s="372" t="s">
        <v>1613</v>
      </c>
      <c r="E104" s="468" t="s">
        <v>1705</v>
      </c>
      <c r="F104" s="322" t="s">
        <v>1618</v>
      </c>
      <c r="G104" s="366"/>
      <c r="K104" t="s">
        <v>1768</v>
      </c>
    </row>
    <row r="105" spans="1:11" ht="38" customHeight="1">
      <c r="A105" s="288">
        <v>86</v>
      </c>
      <c r="B105" s="288" t="s">
        <v>1755</v>
      </c>
      <c r="C105" s="394" t="str">
        <f t="shared" si="6"/>
        <v>Proprietário</v>
      </c>
      <c r="D105" s="372" t="s">
        <v>1613</v>
      </c>
      <c r="E105" s="352" t="s">
        <v>1706</v>
      </c>
      <c r="F105" s="322" t="s">
        <v>1618</v>
      </c>
      <c r="G105" s="367"/>
      <c r="K105" t="s">
        <v>1767</v>
      </c>
    </row>
    <row r="106" spans="1:11" ht="35" customHeight="1">
      <c r="A106" s="321"/>
      <c r="B106" s="321"/>
      <c r="C106" s="321"/>
      <c r="D106" s="321"/>
      <c r="E106" s="391" t="s">
        <v>1707</v>
      </c>
      <c r="F106" s="321"/>
      <c r="G106" s="321"/>
      <c r="H106" s="363"/>
    </row>
    <row r="107" spans="1:11" ht="48.5" customHeight="1">
      <c r="A107" s="331" t="s">
        <v>1708</v>
      </c>
      <c r="B107" s="331" t="s">
        <v>1755</v>
      </c>
      <c r="C107" s="376"/>
      <c r="D107" s="361"/>
      <c r="E107" s="332" t="s">
        <v>1709</v>
      </c>
      <c r="F107" s="475" t="str">
        <f>IF(F14/F8&lt;=0.2,"Sim","Não")</f>
        <v>Sim</v>
      </c>
      <c r="G107" s="334" t="s">
        <v>1710</v>
      </c>
    </row>
    <row r="108" spans="1:11" ht="35" customHeight="1">
      <c r="A108" s="336" t="s">
        <v>1711</v>
      </c>
      <c r="B108" s="336"/>
      <c r="C108" s="377"/>
      <c r="D108" s="377"/>
      <c r="E108" s="337" t="s">
        <v>1712</v>
      </c>
      <c r="F108" s="338"/>
      <c r="G108" s="338"/>
      <c r="H108" s="363"/>
    </row>
    <row r="109" spans="1:11" ht="35" customHeight="1">
      <c r="A109" s="331" t="s">
        <v>1711</v>
      </c>
      <c r="B109" s="331"/>
      <c r="C109" s="376"/>
      <c r="D109" s="361"/>
      <c r="E109" s="332" t="s">
        <v>1713</v>
      </c>
      <c r="F109" s="334"/>
      <c r="G109" s="334"/>
      <c r="H109" s="363"/>
    </row>
    <row r="110" spans="1:11" ht="35" customHeight="1">
      <c r="A110" s="336" t="s">
        <v>1711</v>
      </c>
      <c r="B110" s="336"/>
      <c r="C110" s="377"/>
      <c r="D110" s="377"/>
      <c r="E110" s="337" t="s">
        <v>1714</v>
      </c>
      <c r="F110" s="369"/>
      <c r="G110" s="369"/>
      <c r="H110" s="363"/>
    </row>
    <row r="111" spans="1:11" ht="52" customHeight="1">
      <c r="A111" s="331" t="s">
        <v>1715</v>
      </c>
      <c r="B111" s="331"/>
      <c r="C111" s="376"/>
      <c r="D111" s="361"/>
      <c r="E111" s="332" t="s">
        <v>1716</v>
      </c>
      <c r="F111" s="332"/>
      <c r="G111" s="368" t="s">
        <v>1717</v>
      </c>
    </row>
    <row r="112" spans="1:11" ht="61.5" customHeight="1">
      <c r="A112" s="377" t="s">
        <v>1715</v>
      </c>
      <c r="B112" s="377"/>
      <c r="C112" s="377"/>
      <c r="D112" s="377"/>
      <c r="E112" s="337" t="s">
        <v>1727</v>
      </c>
      <c r="F112" s="369"/>
      <c r="G112" s="369" t="s">
        <v>1717</v>
      </c>
      <c r="H112" s="363"/>
    </row>
    <row r="113" spans="1:11" ht="53" customHeight="1">
      <c r="A113" s="331" t="s">
        <v>1715</v>
      </c>
      <c r="B113" s="331"/>
      <c r="C113" s="376"/>
      <c r="D113" s="361"/>
      <c r="E113" s="332" t="s">
        <v>1718</v>
      </c>
      <c r="F113" s="332"/>
      <c r="G113" s="334" t="s">
        <v>1717</v>
      </c>
    </row>
    <row r="114" spans="1:11" ht="4" customHeight="1">
      <c r="A114" s="357"/>
      <c r="B114" s="358"/>
      <c r="C114" s="358"/>
      <c r="D114" s="358"/>
      <c r="E114" s="359"/>
      <c r="F114" s="333"/>
      <c r="G114" s="360"/>
    </row>
    <row r="115" spans="1:11" ht="18" customHeight="1">
      <c r="A115" s="317"/>
      <c r="B115" s="317"/>
      <c r="C115" s="317"/>
      <c r="D115" s="317"/>
      <c r="E115" s="2"/>
    </row>
    <row r="116" spans="1:11">
      <c r="A116" s="339"/>
      <c r="B116" s="339"/>
      <c r="C116" s="339"/>
      <c r="D116" s="339"/>
      <c r="E116" s="340"/>
      <c r="F116" s="335"/>
      <c r="G116" s="341" t="s">
        <v>1719</v>
      </c>
    </row>
    <row r="122" spans="1:11">
      <c r="K122" t="s">
        <v>1613</v>
      </c>
    </row>
    <row r="123" spans="1:11">
      <c r="K123" t="s">
        <v>1618</v>
      </c>
    </row>
  </sheetData>
  <protectedRanges>
    <protectedRange sqref="F17 F107:F116 D107:D113 F1" name="Intervalo1"/>
    <protectedRange sqref="F15:F16 F2:F8" name="Intervalo1_1"/>
    <protectedRange sqref="F81:F83 F19:F36 F96:F105 F85:F94 F48:F57 F72:F79 F38:F46 F59:F70" name="Intervalo1_2"/>
  </protectedRanges>
  <mergeCells count="6">
    <mergeCell ref="A2:D16"/>
    <mergeCell ref="A1:G1"/>
    <mergeCell ref="F2:G2"/>
    <mergeCell ref="F3:G3"/>
    <mergeCell ref="F4:G4"/>
    <mergeCell ref="F5:G5"/>
  </mergeCells>
  <phoneticPr fontId="20" type="noConversion"/>
  <conditionalFormatting sqref="F1:F8 F16:F17 F19:F36 F114:F116 F85:F94 F38:F46 F59:F70">
    <cfRule type="cellIs" dxfId="93" priority="252" operator="equal">
      <formula>"Não"</formula>
    </cfRule>
  </conditionalFormatting>
  <conditionalFormatting sqref="F16">
    <cfRule type="cellIs" dxfId="92" priority="249" operator="equal">
      <formula>"Sim"</formula>
    </cfRule>
  </conditionalFormatting>
  <conditionalFormatting sqref="F48:F57">
    <cfRule type="cellIs" dxfId="91" priority="194" operator="equal">
      <formula>"Não"</formula>
    </cfRule>
  </conditionalFormatting>
  <conditionalFormatting sqref="F81:F83 F72:F79">
    <cfRule type="cellIs" dxfId="90" priority="167" operator="equal">
      <formula>"Não"</formula>
    </cfRule>
  </conditionalFormatting>
  <conditionalFormatting sqref="F96:F105">
    <cfRule type="cellIs" dxfId="89" priority="146" operator="equal">
      <formula>"Não"</formula>
    </cfRule>
  </conditionalFormatting>
  <conditionalFormatting sqref="D19:D36 D38:D46 D59:D70 D85:D94 D107 D111 D109 D113">
    <cfRule type="cellIs" dxfId="88" priority="70" operator="equal">
      <formula>"Não"</formula>
    </cfRule>
  </conditionalFormatting>
  <conditionalFormatting sqref="D48:D57">
    <cfRule type="cellIs" dxfId="87" priority="68" operator="equal">
      <formula>"Não"</formula>
    </cfRule>
  </conditionalFormatting>
  <conditionalFormatting sqref="D81:D83 D72:D79">
    <cfRule type="cellIs" dxfId="86" priority="67" operator="equal">
      <formula>"Não"</formula>
    </cfRule>
  </conditionalFormatting>
  <conditionalFormatting sqref="D96:D105">
    <cfRule type="cellIs" dxfId="85" priority="66" operator="equal">
      <formula>"Não"</formula>
    </cfRule>
  </conditionalFormatting>
  <conditionalFormatting sqref="D96:D105 D81:D83 D72:D79 D48:D57 D19:D36 D59:D70 D85:D94 D107 D38:D46 D111 D109 D113">
    <cfRule type="cellIs" dxfId="84" priority="65" operator="equal">
      <formula>"Não"</formula>
    </cfRule>
  </conditionalFormatting>
  <conditionalFormatting sqref="D39">
    <cfRule type="cellIs" dxfId="83" priority="64" operator="equal">
      <formula>"Não"</formula>
    </cfRule>
  </conditionalFormatting>
  <conditionalFormatting sqref="D40">
    <cfRule type="cellIs" dxfId="82" priority="63" operator="equal">
      <formula>"Não"</formula>
    </cfRule>
  </conditionalFormatting>
  <conditionalFormatting sqref="D41">
    <cfRule type="cellIs" dxfId="81" priority="62" operator="equal">
      <formula>"Não"</formula>
    </cfRule>
  </conditionalFormatting>
  <conditionalFormatting sqref="D43">
    <cfRule type="cellIs" dxfId="80" priority="61" operator="equal">
      <formula>"Não"</formula>
    </cfRule>
  </conditionalFormatting>
  <conditionalFormatting sqref="D46">
    <cfRule type="cellIs" dxfId="79" priority="60" operator="equal">
      <formula>"Não"</formula>
    </cfRule>
  </conditionalFormatting>
  <conditionalFormatting sqref="D48">
    <cfRule type="cellIs" dxfId="78" priority="59" operator="equal">
      <formula>"Não"</formula>
    </cfRule>
  </conditionalFormatting>
  <conditionalFormatting sqref="D49">
    <cfRule type="cellIs" dxfId="77" priority="58" operator="equal">
      <formula>"Não"</formula>
    </cfRule>
  </conditionalFormatting>
  <conditionalFormatting sqref="D50">
    <cfRule type="cellIs" dxfId="76" priority="57" operator="equal">
      <formula>"Não"</formula>
    </cfRule>
  </conditionalFormatting>
  <conditionalFormatting sqref="D51">
    <cfRule type="cellIs" dxfId="75" priority="56" operator="equal">
      <formula>"Não"</formula>
    </cfRule>
  </conditionalFormatting>
  <conditionalFormatting sqref="D54">
    <cfRule type="cellIs" dxfId="74" priority="55" operator="equal">
      <formula>"Não"</formula>
    </cfRule>
  </conditionalFormatting>
  <conditionalFormatting sqref="D55">
    <cfRule type="cellIs" dxfId="73" priority="54" operator="equal">
      <formula>"Não"</formula>
    </cfRule>
  </conditionalFormatting>
  <conditionalFormatting sqref="D56">
    <cfRule type="cellIs" dxfId="72" priority="53" operator="equal">
      <formula>"Não"</formula>
    </cfRule>
  </conditionalFormatting>
  <conditionalFormatting sqref="D57">
    <cfRule type="cellIs" dxfId="71" priority="52" operator="equal">
      <formula>"Não"</formula>
    </cfRule>
  </conditionalFormatting>
  <conditionalFormatting sqref="D59">
    <cfRule type="cellIs" dxfId="70" priority="51" operator="equal">
      <formula>"Não"</formula>
    </cfRule>
  </conditionalFormatting>
  <conditionalFormatting sqref="D60">
    <cfRule type="cellIs" dxfId="69" priority="50" operator="equal">
      <formula>"Não"</formula>
    </cfRule>
  </conditionalFormatting>
  <conditionalFormatting sqref="D61">
    <cfRule type="cellIs" dxfId="68" priority="49" operator="equal">
      <formula>"Não"</formula>
    </cfRule>
  </conditionalFormatting>
  <conditionalFormatting sqref="D62">
    <cfRule type="cellIs" dxfId="67" priority="48" operator="equal">
      <formula>"Não"</formula>
    </cfRule>
  </conditionalFormatting>
  <conditionalFormatting sqref="D63">
    <cfRule type="cellIs" dxfId="66" priority="47" operator="equal">
      <formula>"Não"</formula>
    </cfRule>
  </conditionalFormatting>
  <conditionalFormatting sqref="D64">
    <cfRule type="cellIs" dxfId="65" priority="46" operator="equal">
      <formula>"Não"</formula>
    </cfRule>
  </conditionalFormatting>
  <conditionalFormatting sqref="D65">
    <cfRule type="cellIs" dxfId="64" priority="45" operator="equal">
      <formula>"Não"</formula>
    </cfRule>
  </conditionalFormatting>
  <conditionalFormatting sqref="D66">
    <cfRule type="cellIs" dxfId="63" priority="44" operator="equal">
      <formula>"Não"</formula>
    </cfRule>
  </conditionalFormatting>
  <conditionalFormatting sqref="D67">
    <cfRule type="cellIs" dxfId="62" priority="43" operator="equal">
      <formula>"Não"</formula>
    </cfRule>
  </conditionalFormatting>
  <conditionalFormatting sqref="D68">
    <cfRule type="cellIs" dxfId="61" priority="42" operator="equal">
      <formula>"Não"</formula>
    </cfRule>
  </conditionalFormatting>
  <conditionalFormatting sqref="D69">
    <cfRule type="cellIs" dxfId="60" priority="41" operator="equal">
      <formula>"Não"</formula>
    </cfRule>
  </conditionalFormatting>
  <conditionalFormatting sqref="D70">
    <cfRule type="cellIs" dxfId="59" priority="40" operator="equal">
      <formula>"Não"</formula>
    </cfRule>
  </conditionalFormatting>
  <conditionalFormatting sqref="D72">
    <cfRule type="cellIs" dxfId="58" priority="39" operator="equal">
      <formula>"Não"</formula>
    </cfRule>
  </conditionalFormatting>
  <conditionalFormatting sqref="D75">
    <cfRule type="cellIs" dxfId="57" priority="38" operator="equal">
      <formula>"Não"</formula>
    </cfRule>
  </conditionalFormatting>
  <conditionalFormatting sqref="D76">
    <cfRule type="cellIs" dxfId="56" priority="37" operator="equal">
      <formula>"Não"</formula>
    </cfRule>
  </conditionalFormatting>
  <conditionalFormatting sqref="D77">
    <cfRule type="cellIs" dxfId="55" priority="36" operator="equal">
      <formula>"Não"</formula>
    </cfRule>
  </conditionalFormatting>
  <conditionalFormatting sqref="D78">
    <cfRule type="cellIs" dxfId="54" priority="35" operator="equal">
      <formula>"Não"</formula>
    </cfRule>
  </conditionalFormatting>
  <conditionalFormatting sqref="D79">
    <cfRule type="cellIs" dxfId="53" priority="34" operator="equal">
      <formula>"Não"</formula>
    </cfRule>
  </conditionalFormatting>
  <conditionalFormatting sqref="D81">
    <cfRule type="cellIs" dxfId="52" priority="33" operator="equal">
      <formula>"Não"</formula>
    </cfRule>
  </conditionalFormatting>
  <conditionalFormatting sqref="D82">
    <cfRule type="cellIs" dxfId="51" priority="32" operator="equal">
      <formula>"Não"</formula>
    </cfRule>
  </conditionalFormatting>
  <conditionalFormatting sqref="D83">
    <cfRule type="cellIs" dxfId="50" priority="31" operator="equal">
      <formula>"Não"</formula>
    </cfRule>
  </conditionalFormatting>
  <conditionalFormatting sqref="D85">
    <cfRule type="cellIs" dxfId="49" priority="30" operator="equal">
      <formula>"Não"</formula>
    </cfRule>
  </conditionalFormatting>
  <conditionalFormatting sqref="D86">
    <cfRule type="cellIs" dxfId="48" priority="29" operator="equal">
      <formula>"Não"</formula>
    </cfRule>
  </conditionalFormatting>
  <conditionalFormatting sqref="D89">
    <cfRule type="cellIs" dxfId="47" priority="28" operator="equal">
      <formula>"Não"</formula>
    </cfRule>
  </conditionalFormatting>
  <conditionalFormatting sqref="D90">
    <cfRule type="cellIs" dxfId="46" priority="27" operator="equal">
      <formula>"Não"</formula>
    </cfRule>
  </conditionalFormatting>
  <conditionalFormatting sqref="D91">
    <cfRule type="cellIs" dxfId="45" priority="26" operator="equal">
      <formula>"Não"</formula>
    </cfRule>
  </conditionalFormatting>
  <conditionalFormatting sqref="D92">
    <cfRule type="cellIs" dxfId="44" priority="25" operator="equal">
      <formula>"Não"</formula>
    </cfRule>
  </conditionalFormatting>
  <conditionalFormatting sqref="D93">
    <cfRule type="cellIs" dxfId="43" priority="24" operator="equal">
      <formula>"Não"</formula>
    </cfRule>
  </conditionalFormatting>
  <conditionalFormatting sqref="D94">
    <cfRule type="cellIs" dxfId="42" priority="23" operator="equal">
      <formula>"Não"</formula>
    </cfRule>
  </conditionalFormatting>
  <conditionalFormatting sqref="D97">
    <cfRule type="cellIs" dxfId="41" priority="22" operator="equal">
      <formula>"Não"</formula>
    </cfRule>
  </conditionalFormatting>
  <conditionalFormatting sqref="D98">
    <cfRule type="cellIs" dxfId="40" priority="21" operator="equal">
      <formula>"Não"</formula>
    </cfRule>
  </conditionalFormatting>
  <conditionalFormatting sqref="D99">
    <cfRule type="cellIs" dxfId="39" priority="20" operator="equal">
      <formula>"Não"</formula>
    </cfRule>
  </conditionalFormatting>
  <conditionalFormatting sqref="D100">
    <cfRule type="cellIs" dxfId="38" priority="19" operator="equal">
      <formula>"Não"</formula>
    </cfRule>
  </conditionalFormatting>
  <conditionalFormatting sqref="D101">
    <cfRule type="cellIs" dxfId="37" priority="18" operator="equal">
      <formula>"Não"</formula>
    </cfRule>
  </conditionalFormatting>
  <conditionalFormatting sqref="D102">
    <cfRule type="cellIs" dxfId="36" priority="17" operator="equal">
      <formula>"Não"</formula>
    </cfRule>
  </conditionalFormatting>
  <conditionalFormatting sqref="D103">
    <cfRule type="cellIs" dxfId="35" priority="16" operator="equal">
      <formula>"Não"</formula>
    </cfRule>
  </conditionalFormatting>
  <conditionalFormatting sqref="D104">
    <cfRule type="cellIs" dxfId="34" priority="15" operator="equal">
      <formula>"Não"</formula>
    </cfRule>
  </conditionalFormatting>
  <conditionalFormatting sqref="D105">
    <cfRule type="cellIs" dxfId="33" priority="14" operator="equal">
      <formula>"Não"</formula>
    </cfRule>
  </conditionalFormatting>
  <conditionalFormatting sqref="D96:D105 D81:D83 D72:D79 D48:D57 D19:D36 D59:D70 D85:D94 D107 D38:D46 D111 D109 D113">
    <cfRule type="cellIs" dxfId="32" priority="6" operator="equal">
      <formula>"Não"</formula>
    </cfRule>
    <cfRule type="cellIs" dxfId="31" priority="13" operator="equal">
      <formula>"Não"</formula>
    </cfRule>
  </conditionalFormatting>
  <conditionalFormatting sqref="D38">
    <cfRule type="cellIs" dxfId="30" priority="12" operator="equal">
      <formula>"Não"</formula>
    </cfRule>
  </conditionalFormatting>
  <conditionalFormatting sqref="D42">
    <cfRule type="cellIs" dxfId="29" priority="11" operator="equal">
      <formula>"Não"</formula>
    </cfRule>
  </conditionalFormatting>
  <conditionalFormatting sqref="D45">
    <cfRule type="cellIs" dxfId="28" priority="10" operator="equal">
      <formula>"Não"</formula>
    </cfRule>
  </conditionalFormatting>
  <conditionalFormatting sqref="D52:D53">
    <cfRule type="cellIs" dxfId="27" priority="9" operator="equal">
      <formula>"Não"</formula>
    </cfRule>
  </conditionalFormatting>
  <conditionalFormatting sqref="D73:D74">
    <cfRule type="cellIs" dxfId="26" priority="8" operator="equal">
      <formula>"Não"</formula>
    </cfRule>
  </conditionalFormatting>
  <conditionalFormatting sqref="D96">
    <cfRule type="cellIs" dxfId="25" priority="7" operator="equal">
      <formula>"Não"</formula>
    </cfRule>
  </conditionalFormatting>
  <conditionalFormatting sqref="D19:D36 D107 D96:D105 D85:D94 D38:D46 D48:D57 D59:D70 D72:D79 D81:D83 D111 D109 D113">
    <cfRule type="cellIs" dxfId="24" priority="1" operator="equal">
      <formula>"Sim"</formula>
    </cfRule>
  </conditionalFormatting>
  <dataValidations count="4">
    <dataValidation type="list" allowBlank="1" showInputMessage="1" showErrorMessage="1" sqref="F16" xr:uid="{00000000-0002-0000-0400-000000000000}">
      <formula1>"Sim,Não"</formula1>
    </dataValidation>
    <dataValidation type="list" allowBlank="1" showInputMessage="1" showErrorMessage="1" sqref="F85:F94 F19:F36 F81:F83 D85:D94 F38:F46 F72:F79 F48:F57 F96:F105 D72:D79 D19:D36 D81:D83 D96:D105 D48:D57 D38:D46 D59:D70 F59:F70" xr:uid="{00000000-0002-0000-0400-000001000000}">
      <formula1>"Sim,Não,N/A"</formula1>
    </dataValidation>
    <dataValidation type="list" allowBlank="1" showInputMessage="1" showErrorMessage="1" sqref="H2" xr:uid="{00000000-0002-0000-0400-000002000000}">
      <formula1>$J$2:$J$5</formula1>
    </dataValidation>
    <dataValidation type="list" allowBlank="1" showInputMessage="1" showErrorMessage="1" sqref="I2" xr:uid="{2FC18634-0B0F-4C59-A7AF-9E9441214086}">
      <formula1>$K$122:$K$123</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P80"/>
  <sheetViews>
    <sheetView topLeftCell="A26" zoomScale="82" zoomScaleNormal="57" workbookViewId="0">
      <selection activeCell="N47" sqref="N47"/>
    </sheetView>
  </sheetViews>
  <sheetFormatPr defaultColWidth="11.6328125" defaultRowHeight="15.5"/>
  <cols>
    <col min="1" max="1" width="30.36328125" style="195" bestFit="1" customWidth="1"/>
    <col min="2" max="2" width="32.453125" style="195" customWidth="1"/>
    <col min="3" max="8" width="11.6328125" style="195"/>
    <col min="9" max="9" width="12.81640625" style="195" customWidth="1"/>
    <col min="10" max="12" width="11.6328125" style="195"/>
    <col min="13" max="14" width="29.6328125" style="195" bestFit="1" customWidth="1"/>
    <col min="15" max="16384" width="11.6328125" style="195"/>
  </cols>
  <sheetData>
    <row r="1" spans="1:14" ht="89" customHeight="1">
      <c r="A1" s="195" t="s">
        <v>1495</v>
      </c>
      <c r="B1" s="195" t="s">
        <v>1423</v>
      </c>
      <c r="C1" s="196" t="s">
        <v>1424</v>
      </c>
      <c r="D1" s="196" t="s">
        <v>1425</v>
      </c>
      <c r="E1" s="196" t="s">
        <v>1426</v>
      </c>
      <c r="F1" s="196" t="s">
        <v>1427</v>
      </c>
      <c r="G1" s="196" t="s">
        <v>1428</v>
      </c>
      <c r="H1" s="196" t="s">
        <v>1429</v>
      </c>
      <c r="I1" s="196" t="s">
        <v>1430</v>
      </c>
      <c r="J1" s="197" t="s">
        <v>1431</v>
      </c>
      <c r="M1" s="198" t="s">
        <v>1432</v>
      </c>
    </row>
    <row r="2" spans="1:14" ht="51" customHeight="1">
      <c r="A2" s="199"/>
      <c r="B2" s="195" t="s">
        <v>1433</v>
      </c>
      <c r="C2" s="200" t="s">
        <v>1434</v>
      </c>
      <c r="D2" s="200" t="s">
        <v>1434</v>
      </c>
      <c r="E2" s="200" t="s">
        <v>1434</v>
      </c>
      <c r="F2" s="200" t="s">
        <v>1434</v>
      </c>
      <c r="G2" s="200" t="s">
        <v>1434</v>
      </c>
      <c r="H2" s="200" t="s">
        <v>1434</v>
      </c>
      <c r="I2" s="200" t="s">
        <v>1434</v>
      </c>
      <c r="J2" s="201" t="s">
        <v>1434</v>
      </c>
      <c r="M2" s="198" t="s">
        <v>1435</v>
      </c>
      <c r="N2" s="198" t="s">
        <v>1436</v>
      </c>
    </row>
    <row r="3" spans="1:14">
      <c r="A3" s="202" t="s">
        <v>1437</v>
      </c>
      <c r="B3" s="195" t="s">
        <v>1438</v>
      </c>
      <c r="C3" s="203" t="s">
        <v>1439</v>
      </c>
      <c r="D3" s="204" t="s">
        <v>1440</v>
      </c>
      <c r="E3" s="205" t="s">
        <v>1301</v>
      </c>
      <c r="F3" s="206" t="s">
        <v>1441</v>
      </c>
      <c r="G3" s="206" t="s">
        <v>1441</v>
      </c>
      <c r="H3" s="207"/>
      <c r="I3" s="207"/>
      <c r="J3" s="208" t="s">
        <v>1442</v>
      </c>
      <c r="M3" s="195" t="s">
        <v>1443</v>
      </c>
      <c r="N3" s="195" t="s">
        <v>1444</v>
      </c>
    </row>
    <row r="4" spans="1:14">
      <c r="A4" s="202" t="s">
        <v>1445</v>
      </c>
      <c r="B4" s="195" t="s">
        <v>1446</v>
      </c>
      <c r="C4" s="209" t="s">
        <v>1439</v>
      </c>
      <c r="D4" s="206" t="s">
        <v>1441</v>
      </c>
      <c r="E4" s="206" t="s">
        <v>1441</v>
      </c>
      <c r="F4" s="210" t="s">
        <v>1442</v>
      </c>
      <c r="G4" s="207"/>
      <c r="H4" s="207"/>
      <c r="I4" s="207"/>
      <c r="J4" s="211" t="s">
        <v>1442</v>
      </c>
      <c r="M4" s="195" t="s">
        <v>1447</v>
      </c>
      <c r="N4" s="195" t="s">
        <v>1448</v>
      </c>
    </row>
    <row r="5" spans="1:14">
      <c r="A5" s="202" t="s">
        <v>1496</v>
      </c>
      <c r="B5" s="195" t="s">
        <v>1449</v>
      </c>
      <c r="C5" s="206" t="s">
        <v>1441</v>
      </c>
      <c r="D5" s="206" t="s">
        <v>1441</v>
      </c>
      <c r="E5" s="204" t="s">
        <v>1442</v>
      </c>
      <c r="F5" s="206" t="s">
        <v>1441</v>
      </c>
      <c r="G5" s="206" t="s">
        <v>1441</v>
      </c>
      <c r="H5" s="207"/>
      <c r="I5" s="206" t="s">
        <v>1441</v>
      </c>
      <c r="J5" s="212" t="s">
        <v>1441</v>
      </c>
      <c r="M5" s="195" t="s">
        <v>1450</v>
      </c>
      <c r="N5" s="195" t="s">
        <v>1398</v>
      </c>
    </row>
    <row r="6" spans="1:14">
      <c r="A6" s="202" t="s">
        <v>1451</v>
      </c>
      <c r="B6" s="195" t="s">
        <v>1452</v>
      </c>
      <c r="C6" s="213" t="s">
        <v>1441</v>
      </c>
      <c r="D6" s="210" t="s">
        <v>1442</v>
      </c>
      <c r="E6" s="210" t="s">
        <v>1442</v>
      </c>
      <c r="F6" s="210" t="s">
        <v>1442</v>
      </c>
      <c r="G6" s="210" t="s">
        <v>1442</v>
      </c>
      <c r="H6" s="210" t="s">
        <v>1442</v>
      </c>
      <c r="I6" s="210" t="s">
        <v>1442</v>
      </c>
      <c r="J6" s="211" t="s">
        <v>1442</v>
      </c>
      <c r="M6" s="214" t="s">
        <v>1453</v>
      </c>
      <c r="N6" s="214" t="s">
        <v>1454</v>
      </c>
    </row>
    <row r="7" spans="1:14">
      <c r="A7" s="202" t="s">
        <v>1455</v>
      </c>
      <c r="B7" s="195" t="s">
        <v>1456</v>
      </c>
      <c r="C7" s="206" t="s">
        <v>1441</v>
      </c>
      <c r="D7" s="204" t="s">
        <v>1442</v>
      </c>
      <c r="E7" s="204" t="s">
        <v>1442</v>
      </c>
      <c r="F7" s="206" t="s">
        <v>1441</v>
      </c>
      <c r="G7" s="204" t="s">
        <v>1442</v>
      </c>
      <c r="H7" s="204" t="s">
        <v>1442</v>
      </c>
      <c r="I7" s="207"/>
      <c r="J7" s="215" t="s">
        <v>1457</v>
      </c>
    </row>
    <row r="8" spans="1:14">
      <c r="A8" s="202">
        <v>31</v>
      </c>
      <c r="B8" s="195" t="s">
        <v>1458</v>
      </c>
      <c r="C8" s="204" t="s">
        <v>1442</v>
      </c>
      <c r="D8" s="206" t="s">
        <v>1441</v>
      </c>
      <c r="E8" s="204" t="s">
        <v>1442</v>
      </c>
      <c r="F8" s="206" t="s">
        <v>1441</v>
      </c>
      <c r="G8" s="204" t="s">
        <v>1442</v>
      </c>
      <c r="H8" s="207"/>
      <c r="I8" s="207"/>
      <c r="J8" s="208" t="s">
        <v>1442</v>
      </c>
    </row>
    <row r="9" spans="1:14">
      <c r="A9" s="202">
        <v>65</v>
      </c>
      <c r="B9" s="195" t="s">
        <v>1459</v>
      </c>
      <c r="C9" s="206" t="s">
        <v>1441</v>
      </c>
      <c r="D9" s="207"/>
      <c r="E9" s="207"/>
      <c r="F9" s="204" t="s">
        <v>1442</v>
      </c>
      <c r="G9" s="206" t="s">
        <v>1441</v>
      </c>
      <c r="H9" s="207"/>
      <c r="I9" s="207"/>
      <c r="J9" s="212" t="s">
        <v>1441</v>
      </c>
    </row>
    <row r="10" spans="1:14">
      <c r="A10" s="202" t="s">
        <v>865</v>
      </c>
      <c r="B10" s="195" t="s">
        <v>1460</v>
      </c>
      <c r="C10" s="204" t="s">
        <v>1442</v>
      </c>
      <c r="D10" s="216" t="s">
        <v>1457</v>
      </c>
      <c r="E10" s="216" t="s">
        <v>1457</v>
      </c>
      <c r="F10" s="204" t="s">
        <v>1442</v>
      </c>
      <c r="G10" s="204" t="s">
        <v>1442</v>
      </c>
      <c r="H10" s="204" t="s">
        <v>1442</v>
      </c>
      <c r="I10" s="207"/>
      <c r="J10" s="215" t="s">
        <v>1457</v>
      </c>
    </row>
    <row r="11" spans="1:14">
      <c r="A11" s="202" t="s">
        <v>859</v>
      </c>
      <c r="B11" s="195" t="s">
        <v>1497</v>
      </c>
      <c r="C11" s="206" t="s">
        <v>1441</v>
      </c>
      <c r="D11" s="204" t="s">
        <v>1442</v>
      </c>
      <c r="E11" s="216" t="s">
        <v>1457</v>
      </c>
      <c r="F11" s="204" t="s">
        <v>1442</v>
      </c>
      <c r="G11" s="206" t="s">
        <v>1441</v>
      </c>
      <c r="H11" s="207"/>
      <c r="I11" s="207"/>
      <c r="J11" s="212" t="s">
        <v>1441</v>
      </c>
    </row>
    <row r="12" spans="1:14">
      <c r="A12" s="202" t="s">
        <v>863</v>
      </c>
      <c r="B12" s="195" t="s">
        <v>1498</v>
      </c>
      <c r="C12" s="207"/>
      <c r="D12" s="207"/>
      <c r="E12" s="207"/>
      <c r="F12" s="206" t="s">
        <v>1441</v>
      </c>
      <c r="G12" s="204" t="s">
        <v>1442</v>
      </c>
      <c r="H12" s="207"/>
      <c r="I12" s="204" t="s">
        <v>1442</v>
      </c>
      <c r="J12" s="208" t="s">
        <v>1442</v>
      </c>
    </row>
    <row r="13" spans="1:14">
      <c r="A13" s="202" t="s">
        <v>1499</v>
      </c>
      <c r="B13" s="195" t="s">
        <v>1461</v>
      </c>
      <c r="C13" s="204" t="s">
        <v>1442</v>
      </c>
      <c r="D13" s="204" t="s">
        <v>1442</v>
      </c>
      <c r="E13" s="216" t="s">
        <v>1457</v>
      </c>
      <c r="F13" s="204" t="s">
        <v>1442</v>
      </c>
      <c r="G13" s="204" t="s">
        <v>1442</v>
      </c>
      <c r="H13" s="204" t="s">
        <v>1442</v>
      </c>
      <c r="I13" s="204" t="s">
        <v>1442</v>
      </c>
      <c r="J13" s="208" t="s">
        <v>1442</v>
      </c>
    </row>
    <row r="14" spans="1:14">
      <c r="A14" s="202" t="s">
        <v>1462</v>
      </c>
      <c r="B14" s="195" t="s">
        <v>1463</v>
      </c>
      <c r="C14" s="206" t="s">
        <v>1441</v>
      </c>
      <c r="D14" s="204" t="s">
        <v>1442</v>
      </c>
      <c r="E14" s="204" t="s">
        <v>1442</v>
      </c>
      <c r="F14" s="204" t="s">
        <v>1442</v>
      </c>
      <c r="G14" s="204" t="s">
        <v>1442</v>
      </c>
      <c r="H14" s="207"/>
      <c r="I14" s="207"/>
      <c r="J14" s="215" t="s">
        <v>1457</v>
      </c>
    </row>
    <row r="15" spans="1:14">
      <c r="A15" s="202" t="s">
        <v>1464</v>
      </c>
      <c r="B15" s="195" t="s">
        <v>1465</v>
      </c>
      <c r="C15" s="204" t="s">
        <v>1442</v>
      </c>
      <c r="D15" s="204" t="s">
        <v>1442</v>
      </c>
      <c r="E15" s="207"/>
      <c r="F15" s="206" t="s">
        <v>1441</v>
      </c>
      <c r="G15" s="204" t="s">
        <v>1442</v>
      </c>
      <c r="H15" s="207"/>
      <c r="I15" s="206" t="s">
        <v>1441</v>
      </c>
      <c r="J15" s="212" t="s">
        <v>1441</v>
      </c>
    </row>
    <row r="16" spans="1:14">
      <c r="A16" s="202" t="s">
        <v>1466</v>
      </c>
      <c r="B16" s="195" t="s">
        <v>1467</v>
      </c>
      <c r="C16" s="204" t="s">
        <v>1442</v>
      </c>
      <c r="D16" s="207"/>
      <c r="E16" s="204" t="s">
        <v>1442</v>
      </c>
      <c r="F16" s="204" t="s">
        <v>1442</v>
      </c>
      <c r="G16" s="204" t="s">
        <v>1442</v>
      </c>
      <c r="H16" s="204" t="s">
        <v>1442</v>
      </c>
      <c r="I16" s="207"/>
      <c r="J16" s="208" t="s">
        <v>1442</v>
      </c>
    </row>
    <row r="17" spans="1:16">
      <c r="A17" s="202" t="s">
        <v>1468</v>
      </c>
      <c r="B17" s="195" t="s">
        <v>1469</v>
      </c>
      <c r="C17" s="206" t="s">
        <v>1441</v>
      </c>
      <c r="D17" s="206" t="s">
        <v>1441</v>
      </c>
      <c r="E17" s="204" t="s">
        <v>1442</v>
      </c>
      <c r="F17" s="206" t="s">
        <v>1441</v>
      </c>
      <c r="G17" s="204" t="s">
        <v>1442</v>
      </c>
      <c r="H17" s="207"/>
      <c r="I17" s="207"/>
      <c r="J17" s="212" t="s">
        <v>1441</v>
      </c>
    </row>
    <row r="18" spans="1:16">
      <c r="A18" s="202" t="s">
        <v>1470</v>
      </c>
      <c r="B18" s="195" t="s">
        <v>1471</v>
      </c>
      <c r="C18" s="204" t="s">
        <v>1442</v>
      </c>
      <c r="D18" s="204" t="s">
        <v>1442</v>
      </c>
      <c r="E18" s="207"/>
      <c r="F18" s="204" t="s">
        <v>1442</v>
      </c>
      <c r="G18" s="204" t="s">
        <v>1442</v>
      </c>
      <c r="H18" s="207"/>
      <c r="I18" s="204" t="s">
        <v>1442</v>
      </c>
      <c r="J18" s="208" t="s">
        <v>1442</v>
      </c>
    </row>
    <row r="19" spans="1:16">
      <c r="A19" s="202" t="s">
        <v>1470</v>
      </c>
      <c r="B19" s="195" t="s">
        <v>1472</v>
      </c>
      <c r="C19" s="210" t="s">
        <v>1442</v>
      </c>
      <c r="D19" s="210" t="s">
        <v>1442</v>
      </c>
      <c r="E19" s="217"/>
      <c r="F19" s="218" t="s">
        <v>1457</v>
      </c>
      <c r="G19" s="213" t="s">
        <v>1441</v>
      </c>
      <c r="H19" s="213" t="s">
        <v>1441</v>
      </c>
      <c r="I19" s="210" t="s">
        <v>1442</v>
      </c>
      <c r="J19" s="211" t="s">
        <v>1442</v>
      </c>
    </row>
    <row r="23" spans="1:16">
      <c r="C23" s="7"/>
      <c r="D23" s="7"/>
      <c r="E23" s="7"/>
      <c r="F23" s="7"/>
      <c r="G23" s="7"/>
      <c r="H23" s="7"/>
      <c r="I23" s="7"/>
      <c r="J23" s="7"/>
    </row>
    <row r="24" spans="1:16">
      <c r="B24" s="195" t="s">
        <v>1505</v>
      </c>
      <c r="C24" s="195">
        <f>IFERROR(INDEX($P$27:$P$34,MATCH(C26,$N$27:$N$34,0),1),0)*C25</f>
        <v>0</v>
      </c>
      <c r="D24" s="195">
        <f t="shared" ref="D24:J24" si="0">IFERROR(INDEX($P$27:$P$34,MATCH(D26,$N$27:$N$34,0),1),0)*D25</f>
        <v>0</v>
      </c>
      <c r="E24" s="195">
        <f t="shared" si="0"/>
        <v>0</v>
      </c>
      <c r="F24" s="195">
        <f t="shared" si="0"/>
        <v>0</v>
      </c>
      <c r="G24" s="195">
        <f t="shared" si="0"/>
        <v>0</v>
      </c>
      <c r="H24" s="195">
        <f t="shared" si="0"/>
        <v>0</v>
      </c>
      <c r="I24" s="195">
        <f t="shared" si="0"/>
        <v>0</v>
      </c>
      <c r="J24" s="195">
        <f t="shared" si="0"/>
        <v>0</v>
      </c>
    </row>
    <row r="25" spans="1:16">
      <c r="B25" s="195" t="s">
        <v>1504</v>
      </c>
      <c r="C25" s="195">
        <f>IFERROR(INDEX($O$27:$O$34,MATCH(C26,$N$27:$N$34,0),1),0)</f>
        <v>0</v>
      </c>
      <c r="D25" s="195">
        <f t="shared" ref="D25:J25" si="1">IFERROR(INDEX($O$27:$O$34,MATCH(D26,$N$27:$N$34,0),1),0)</f>
        <v>0</v>
      </c>
      <c r="E25" s="195">
        <f t="shared" si="1"/>
        <v>0</v>
      </c>
      <c r="F25" s="195">
        <f t="shared" si="1"/>
        <v>0</v>
      </c>
      <c r="G25" s="195">
        <f t="shared" si="1"/>
        <v>0</v>
      </c>
      <c r="H25" s="195">
        <f t="shared" si="1"/>
        <v>0</v>
      </c>
      <c r="I25" s="195">
        <f t="shared" si="1"/>
        <v>0</v>
      </c>
      <c r="J25" s="195">
        <f t="shared" si="1"/>
        <v>0</v>
      </c>
    </row>
    <row r="26" spans="1:16" ht="72.5">
      <c r="C26" s="196" t="s">
        <v>611</v>
      </c>
      <c r="D26" s="196" t="s">
        <v>613</v>
      </c>
      <c r="E26" s="196" t="s">
        <v>609</v>
      </c>
      <c r="F26" s="196" t="s">
        <v>616</v>
      </c>
      <c r="G26" s="196" t="s">
        <v>618</v>
      </c>
      <c r="H26" s="196" t="s">
        <v>619</v>
      </c>
      <c r="I26" s="196" t="s">
        <v>607</v>
      </c>
      <c r="J26" s="197" t="s">
        <v>622</v>
      </c>
      <c r="L26" s="195">
        <f>IF(References!B11,1,0)</f>
        <v>1</v>
      </c>
      <c r="N26" s="195" t="s">
        <v>1473</v>
      </c>
    </row>
    <row r="27" spans="1:16">
      <c r="A27" s="195" t="s">
        <v>1444</v>
      </c>
      <c r="B27" s="195" t="s">
        <v>1443</v>
      </c>
      <c r="C27" s="221">
        <v>1</v>
      </c>
      <c r="D27" s="221">
        <v>1</v>
      </c>
      <c r="E27" s="221">
        <v>1</v>
      </c>
      <c r="F27" s="221"/>
      <c r="G27" s="221"/>
      <c r="H27" s="221">
        <v>1</v>
      </c>
      <c r="I27" s="221">
        <v>1</v>
      </c>
      <c r="J27" s="221">
        <v>1</v>
      </c>
      <c r="K27" s="195">
        <f>SUMPRODUCT($C$25:$J$25,C27:J27)</f>
        <v>0</v>
      </c>
      <c r="N27" s="195" t="str">
        <f>Home!F21</f>
        <v>Increase soil health and fertility</v>
      </c>
      <c r="O27" s="195">
        <f>IF(Home!H21="yes",1,0)</f>
        <v>0</v>
      </c>
      <c r="P27" s="195">
        <f>IF(Home!J21="yes",1,0)</f>
        <v>1</v>
      </c>
    </row>
    <row r="28" spans="1:16">
      <c r="A28" s="195" t="s">
        <v>1448</v>
      </c>
      <c r="B28" s="195" t="s">
        <v>1447</v>
      </c>
      <c r="C28" s="221">
        <v>1</v>
      </c>
      <c r="D28" s="221">
        <v>1</v>
      </c>
      <c r="E28" s="221">
        <v>1</v>
      </c>
      <c r="F28" s="221">
        <v>1</v>
      </c>
      <c r="G28" s="221"/>
      <c r="H28" s="221">
        <v>1</v>
      </c>
      <c r="I28" s="221">
        <v>1</v>
      </c>
      <c r="J28" s="221">
        <v>1</v>
      </c>
      <c r="K28" s="195">
        <f t="shared" ref="K28:K30" si="2">SUMPRODUCT($C$25:$J$25,C28:J28)</f>
        <v>0</v>
      </c>
      <c r="N28" s="195" t="str">
        <f>Home!F22</f>
        <v>Increase nutrient use efficiency</v>
      </c>
      <c r="O28" s="195">
        <f>IF(Home!H22="yes",1,0)</f>
        <v>0</v>
      </c>
      <c r="P28" s="195">
        <f>IF(Home!J22="yes",1,0)</f>
        <v>1</v>
      </c>
    </row>
    <row r="29" spans="1:16">
      <c r="A29" s="195" t="s">
        <v>1398</v>
      </c>
      <c r="B29" s="195" t="s">
        <v>1450</v>
      </c>
      <c r="C29" s="221">
        <v>1</v>
      </c>
      <c r="D29" s="221">
        <v>1</v>
      </c>
      <c r="E29" s="221">
        <v>1</v>
      </c>
      <c r="F29" s="221"/>
      <c r="G29" s="221">
        <v>1</v>
      </c>
      <c r="H29" s="221">
        <v>1</v>
      </c>
      <c r="I29" s="221">
        <v>1</v>
      </c>
      <c r="J29" s="221">
        <v>1</v>
      </c>
      <c r="K29" s="195">
        <f t="shared" si="2"/>
        <v>0</v>
      </c>
      <c r="N29" s="195" t="str">
        <f>Home!F23</f>
        <v>Optimise crop protection</v>
      </c>
      <c r="O29" s="195">
        <f>IF(Home!H23="yes",1,0)</f>
        <v>0</v>
      </c>
      <c r="P29" s="195">
        <f>IF(Home!J23="yes",1,0)</f>
        <v>1</v>
      </c>
    </row>
    <row r="30" spans="1:16">
      <c r="A30" s="214" t="s">
        <v>1454</v>
      </c>
      <c r="B30" s="214" t="s">
        <v>1453</v>
      </c>
      <c r="C30" s="221">
        <v>1</v>
      </c>
      <c r="D30" s="221">
        <v>1</v>
      </c>
      <c r="E30" s="221">
        <v>1</v>
      </c>
      <c r="F30" s="221"/>
      <c r="G30" s="221">
        <v>1</v>
      </c>
      <c r="H30" s="221">
        <v>1</v>
      </c>
      <c r="I30" s="221">
        <v>1</v>
      </c>
      <c r="J30" s="221">
        <v>1</v>
      </c>
      <c r="K30" s="195">
        <f t="shared" si="2"/>
        <v>0</v>
      </c>
      <c r="N30" s="195" t="str">
        <f>Home!F24</f>
        <v>Increase water use efficiency</v>
      </c>
      <c r="O30" s="195">
        <f>IF(Home!H24="yes",1,0)</f>
        <v>0</v>
      </c>
      <c r="P30" s="195">
        <f>IF(Home!J24="yes",1,0)</f>
        <v>1</v>
      </c>
    </row>
    <row r="31" spans="1:16">
      <c r="A31" s="195" t="s">
        <v>980</v>
      </c>
      <c r="N31" s="195" t="str">
        <f>Home!F25</f>
        <v>Increase cultivated crop and pasture diversity</v>
      </c>
      <c r="O31" s="195">
        <f>IF(Home!H25="yes",1,0)</f>
        <v>0</v>
      </c>
      <c r="P31" s="195">
        <f>IF(Home!J25="yes",1,0)</f>
        <v>1</v>
      </c>
    </row>
    <row r="32" spans="1:16">
      <c r="A32" s="202" t="s">
        <v>1437</v>
      </c>
      <c r="B32" s="195" t="s">
        <v>1438</v>
      </c>
      <c r="C32" s="207">
        <v>1</v>
      </c>
      <c r="D32" s="207">
        <v>1</v>
      </c>
      <c r="E32" s="207"/>
      <c r="F32" s="207">
        <v>1</v>
      </c>
      <c r="G32" s="207">
        <v>1</v>
      </c>
      <c r="H32" s="207"/>
      <c r="I32" s="207"/>
      <c r="J32" s="219">
        <v>1</v>
      </c>
      <c r="K32" s="195">
        <f>IF(('Self-Assessment Questionnaire'!G68="Yes"),1,0)</f>
        <v>1</v>
      </c>
      <c r="L32" s="195">
        <f>IF(SUMPRODUCT(C32:J32,$C$25:$J$25)*K32&gt;0,1,0)*$L$26</f>
        <v>0</v>
      </c>
      <c r="M32" s="195">
        <f>IF(SUMPRODUCT(C32:J32,$C$25:$J$25)&gt;0,1,0)*$L$26</f>
        <v>0</v>
      </c>
      <c r="N32" s="195" t="str">
        <f>Home!F26</f>
        <v>Optimise crop protection</v>
      </c>
      <c r="O32" s="195">
        <f>IF(Home!H26="yes",1,0)</f>
        <v>0</v>
      </c>
      <c r="P32" s="195">
        <f>IF(Home!J26="yes",1,0)</f>
        <v>1</v>
      </c>
    </row>
    <row r="33" spans="1:16">
      <c r="A33" s="202" t="s">
        <v>1445</v>
      </c>
      <c r="B33" s="195" t="s">
        <v>1446</v>
      </c>
      <c r="C33" s="217">
        <v>1</v>
      </c>
      <c r="D33" s="207">
        <v>1</v>
      </c>
      <c r="E33" s="207">
        <v>1</v>
      </c>
      <c r="F33" s="217">
        <v>1</v>
      </c>
      <c r="G33" s="207"/>
      <c r="H33" s="207"/>
      <c r="I33" s="207"/>
      <c r="J33" s="220">
        <v>1</v>
      </c>
      <c r="K33" s="195">
        <f>IF(('Self-Assessment Questionnaire'!G71="Yes"),1,0)</f>
        <v>1</v>
      </c>
      <c r="L33" s="195">
        <f t="shared" ref="L33:L48" si="3">IF(SUMPRODUCT(C33:J33,$C$25:$J$25)*K33&gt;0,1,0)*$L$26</f>
        <v>0</v>
      </c>
      <c r="M33" s="195">
        <f t="shared" ref="M33:M48" si="4">IF(SUMPRODUCT(C33:J33,$C$25:$J$25)&gt;0,1,0)*$L$26</f>
        <v>0</v>
      </c>
      <c r="N33" s="195">
        <f>Home!F27</f>
        <v>0</v>
      </c>
      <c r="O33" s="195">
        <f>IF(Home!H27="yes",1,0)</f>
        <v>0</v>
      </c>
      <c r="P33" s="195">
        <f>IF(Home!J27="yes",1,0)</f>
        <v>0</v>
      </c>
    </row>
    <row r="34" spans="1:16">
      <c r="A34" s="202"/>
      <c r="C34" s="207"/>
      <c r="D34" s="207"/>
      <c r="E34" s="207"/>
      <c r="F34" s="207"/>
      <c r="G34" s="207"/>
      <c r="H34" s="207"/>
      <c r="I34" s="207"/>
      <c r="J34" s="219"/>
      <c r="M34" s="195">
        <f t="shared" si="4"/>
        <v>0</v>
      </c>
      <c r="N34" s="195">
        <f>Home!F28</f>
        <v>0</v>
      </c>
      <c r="O34" s="195">
        <f>IF(Home!H28="yes",1,0)</f>
        <v>0</v>
      </c>
      <c r="P34" s="195">
        <f>IF(Home!J28="yes",1,0)</f>
        <v>0</v>
      </c>
    </row>
    <row r="35" spans="1:16">
      <c r="A35" s="202" t="s">
        <v>1451</v>
      </c>
      <c r="B35" s="195" t="s">
        <v>1452</v>
      </c>
      <c r="C35" s="217">
        <v>1</v>
      </c>
      <c r="D35" s="217">
        <v>1</v>
      </c>
      <c r="E35" s="217">
        <v>1</v>
      </c>
      <c r="F35" s="217">
        <v>1</v>
      </c>
      <c r="G35" s="217">
        <v>1</v>
      </c>
      <c r="H35" s="217">
        <v>1</v>
      </c>
      <c r="I35" s="217">
        <v>1</v>
      </c>
      <c r="J35" s="220">
        <v>1</v>
      </c>
      <c r="K35" s="195">
        <f>IF(('Self-Assessment Questionnaire'!G61="Yes"),1,0)</f>
        <v>1</v>
      </c>
      <c r="L35" s="195">
        <f t="shared" si="3"/>
        <v>0</v>
      </c>
      <c r="M35" s="195">
        <f t="shared" si="4"/>
        <v>0</v>
      </c>
    </row>
    <row r="36" spans="1:16">
      <c r="A36" s="202" t="s">
        <v>1455</v>
      </c>
      <c r="B36" s="195" t="s">
        <v>1456</v>
      </c>
      <c r="C36" s="207">
        <v>1</v>
      </c>
      <c r="D36" s="207">
        <v>1</v>
      </c>
      <c r="E36" s="207">
        <v>1</v>
      </c>
      <c r="F36" s="207">
        <v>1</v>
      </c>
      <c r="G36" s="207">
        <v>1</v>
      </c>
      <c r="H36" s="207">
        <v>1</v>
      </c>
      <c r="I36" s="207"/>
      <c r="J36" s="219"/>
      <c r="K36" s="195">
        <f>IF(('Self-Assessment Questionnaire'!G63="Yes"),1,0)</f>
        <v>1</v>
      </c>
      <c r="L36" s="195">
        <f t="shared" si="3"/>
        <v>0</v>
      </c>
      <c r="M36" s="195">
        <f t="shared" si="4"/>
        <v>0</v>
      </c>
    </row>
    <row r="37" spans="1:16">
      <c r="A37" s="202">
        <v>31</v>
      </c>
      <c r="B37" s="195" t="s">
        <v>1458</v>
      </c>
      <c r="C37" s="207">
        <v>1</v>
      </c>
      <c r="D37" s="207">
        <v>1</v>
      </c>
      <c r="E37" s="207">
        <v>1</v>
      </c>
      <c r="F37" s="207">
        <v>1</v>
      </c>
      <c r="G37" s="207">
        <v>1</v>
      </c>
      <c r="H37" s="207"/>
      <c r="I37" s="207"/>
      <c r="J37" s="219">
        <v>1</v>
      </c>
      <c r="K37" s="195">
        <f>IF(('Self-Assessment Questionnaire'!G75="Yes"),1,0)</f>
        <v>1</v>
      </c>
      <c r="L37" s="195">
        <f t="shared" si="3"/>
        <v>0</v>
      </c>
      <c r="M37" s="195">
        <f t="shared" si="4"/>
        <v>0</v>
      </c>
    </row>
    <row r="38" spans="1:16">
      <c r="A38" s="202">
        <v>65</v>
      </c>
      <c r="B38" s="195" t="s">
        <v>1459</v>
      </c>
      <c r="C38" s="207">
        <v>1</v>
      </c>
      <c r="D38" s="207"/>
      <c r="E38" s="207"/>
      <c r="F38" s="207">
        <v>1</v>
      </c>
      <c r="G38" s="207">
        <v>1</v>
      </c>
      <c r="H38" s="207"/>
      <c r="I38" s="207"/>
      <c r="J38" s="219">
        <v>1</v>
      </c>
      <c r="K38" s="195">
        <f>IF(('Self-Assessment Questionnaire'!G150="Yes"),1,0)</f>
        <v>1</v>
      </c>
      <c r="L38" s="195">
        <f t="shared" si="3"/>
        <v>0</v>
      </c>
      <c r="M38" s="195">
        <f t="shared" si="4"/>
        <v>0</v>
      </c>
    </row>
    <row r="39" spans="1:16">
      <c r="A39" s="202" t="s">
        <v>867</v>
      </c>
      <c r="B39" s="195" t="s">
        <v>1460</v>
      </c>
      <c r="C39" s="207">
        <v>1</v>
      </c>
      <c r="D39" s="207"/>
      <c r="E39" s="207"/>
      <c r="F39" s="207">
        <v>1</v>
      </c>
      <c r="G39" s="207">
        <v>1</v>
      </c>
      <c r="H39" s="207">
        <v>1</v>
      </c>
      <c r="I39" s="207"/>
      <c r="J39" s="219"/>
      <c r="K39" s="195">
        <f>IF(('Self-Assessment Questionnaire'!G157="Yes"),1,0)</f>
        <v>0</v>
      </c>
      <c r="L39" s="195">
        <f t="shared" si="3"/>
        <v>0</v>
      </c>
      <c r="M39" s="195">
        <f t="shared" si="4"/>
        <v>0</v>
      </c>
      <c r="N39" s="195" t="s">
        <v>1474</v>
      </c>
      <c r="O39" s="195">
        <f>COUNTIFS(L32:L48,"&gt;0")</f>
        <v>0</v>
      </c>
    </row>
    <row r="40" spans="1:16">
      <c r="A40" s="202" t="s">
        <v>857</v>
      </c>
      <c r="B40" s="195" t="s">
        <v>1497</v>
      </c>
      <c r="C40" s="207">
        <v>1</v>
      </c>
      <c r="D40" s="207">
        <v>1</v>
      </c>
      <c r="E40" s="207"/>
      <c r="F40" s="207">
        <v>1</v>
      </c>
      <c r="G40" s="207">
        <v>1</v>
      </c>
      <c r="H40" s="207"/>
      <c r="I40" s="207"/>
      <c r="J40" s="207">
        <v>1</v>
      </c>
      <c r="K40" s="195">
        <f>IF(('Self-Assessment Questionnaire'!G152="Yes"),1,0)</f>
        <v>1</v>
      </c>
      <c r="L40" s="195">
        <f t="shared" si="3"/>
        <v>0</v>
      </c>
      <c r="M40" s="195">
        <f t="shared" si="4"/>
        <v>0</v>
      </c>
      <c r="N40" s="195" t="s">
        <v>1475</v>
      </c>
      <c r="O40" s="195">
        <f>COUNTIFS(K27:K30,"&gt;1")</f>
        <v>0</v>
      </c>
    </row>
    <row r="41" spans="1:16">
      <c r="A41" s="202" t="s">
        <v>863</v>
      </c>
      <c r="B41" s="195" t="s">
        <v>1498</v>
      </c>
      <c r="C41" s="207"/>
      <c r="D41" s="207"/>
      <c r="E41" s="207"/>
      <c r="F41" s="207">
        <v>1</v>
      </c>
      <c r="G41" s="207">
        <v>1</v>
      </c>
      <c r="H41" s="207"/>
      <c r="I41" s="207">
        <v>1</v>
      </c>
      <c r="J41" s="207">
        <v>1</v>
      </c>
      <c r="K41" s="195">
        <f>IF(('Self-Assessment Questionnaire'!G154="Yes"),1,0)</f>
        <v>1</v>
      </c>
      <c r="L41" s="195">
        <f t="shared" si="3"/>
        <v>0</v>
      </c>
      <c r="M41" s="195">
        <f t="shared" si="4"/>
        <v>0</v>
      </c>
      <c r="N41" s="195" t="s">
        <v>1502</v>
      </c>
      <c r="O41" s="195">
        <f>SUM(C25:J25)</f>
        <v>0</v>
      </c>
    </row>
    <row r="42" spans="1:16">
      <c r="A42" s="202" t="s">
        <v>972</v>
      </c>
      <c r="B42" s="195" t="s">
        <v>1461</v>
      </c>
      <c r="C42" s="207">
        <v>1</v>
      </c>
      <c r="D42" s="207">
        <v>1</v>
      </c>
      <c r="E42" s="207"/>
      <c r="F42" s="207">
        <v>1</v>
      </c>
      <c r="G42" s="207">
        <v>1</v>
      </c>
      <c r="H42" s="207">
        <v>1</v>
      </c>
      <c r="I42" s="207">
        <v>1</v>
      </c>
      <c r="J42" s="219">
        <v>1</v>
      </c>
      <c r="K42" s="195">
        <f>IF(('Self-Assessment Questionnaire'!G224="Yes"),1,0)</f>
        <v>0</v>
      </c>
      <c r="L42" s="195">
        <f t="shared" si="3"/>
        <v>0</v>
      </c>
      <c r="M42" s="195">
        <f t="shared" si="4"/>
        <v>0</v>
      </c>
      <c r="N42" s="195" t="s">
        <v>1503</v>
      </c>
      <c r="O42" s="195">
        <f>SUM(C24:J24)</f>
        <v>0</v>
      </c>
    </row>
    <row r="43" spans="1:16">
      <c r="A43" s="202" t="s">
        <v>1501</v>
      </c>
      <c r="B43" s="195" t="s">
        <v>1463</v>
      </c>
      <c r="C43" s="207">
        <v>1</v>
      </c>
      <c r="D43" s="207">
        <v>1</v>
      </c>
      <c r="E43" s="207">
        <v>1</v>
      </c>
      <c r="F43" s="207">
        <v>1</v>
      </c>
      <c r="G43" s="207">
        <v>1</v>
      </c>
      <c r="H43" s="207"/>
      <c r="I43" s="207"/>
      <c r="J43" s="219"/>
      <c r="K43" s="195">
        <f>IF(OR('Self-Assessment Questionnaire'!G80="Yes",'Self-Assessment Questionnaire'!G81="Yes"),1,0)</f>
        <v>1</v>
      </c>
      <c r="L43" s="195">
        <f t="shared" si="3"/>
        <v>0</v>
      </c>
      <c r="M43" s="195">
        <f t="shared" si="4"/>
        <v>0</v>
      </c>
    </row>
    <row r="44" spans="1:16">
      <c r="A44" s="202" t="s">
        <v>1464</v>
      </c>
      <c r="B44" s="195" t="s">
        <v>1465</v>
      </c>
      <c r="C44" s="207">
        <v>1</v>
      </c>
      <c r="D44" s="207">
        <v>1</v>
      </c>
      <c r="E44" s="207"/>
      <c r="F44" s="207">
        <v>1</v>
      </c>
      <c r="G44" s="207">
        <v>1</v>
      </c>
      <c r="H44" s="207"/>
      <c r="I44" s="207">
        <v>1</v>
      </c>
      <c r="J44" s="219">
        <v>1</v>
      </c>
      <c r="K44" s="195">
        <f>IF(AND('Self-Assessment Questionnaire'!G85="Yes",'Self-Assessment Questionnaire'!G86="Yes",'Self-Assessment Questionnaire'!G87="Yes",'Self-Assessment Questionnaire'!G88="Yes"),1,0)</f>
        <v>1</v>
      </c>
      <c r="L44" s="195">
        <f t="shared" si="3"/>
        <v>0</v>
      </c>
      <c r="M44" s="195">
        <f t="shared" si="4"/>
        <v>0</v>
      </c>
      <c r="N44" s="195" t="str">
        <f>IF(AND(O41&gt;=4,O40&gt;=4,O39&gt;=4,O42&gt;=4),"Leading",IF(AND(O41&gt;=2,O40&gt;=2,O39&gt;=2,O42&gt;=2),"Advancing",IF(AND(O41&gt;=2,O40&gt;=2,O39&gt;=2),"Engaging","Not Yet Engaging")))</f>
        <v>Not Yet Engaging</v>
      </c>
    </row>
    <row r="45" spans="1:16">
      <c r="A45" s="202" t="s">
        <v>1466</v>
      </c>
      <c r="B45" s="195" t="s">
        <v>1467</v>
      </c>
      <c r="C45" s="207">
        <v>1</v>
      </c>
      <c r="D45" s="207"/>
      <c r="E45" s="207">
        <v>1</v>
      </c>
      <c r="F45" s="207">
        <v>1</v>
      </c>
      <c r="G45" s="207">
        <v>1</v>
      </c>
      <c r="H45" s="207">
        <v>1</v>
      </c>
      <c r="I45" s="207"/>
      <c r="J45" s="219">
        <v>1</v>
      </c>
      <c r="K45" s="195">
        <f>IF(AND('Self-Assessment Questionnaire'!G118="Yes",'Self-Assessment Questionnaire'!G119="Yes",'Self-Assessment Questionnaire'!G120="Yes",'Self-Assessment Questionnaire'!G121="Yes"),1,0)</f>
        <v>1</v>
      </c>
      <c r="L45" s="195">
        <f t="shared" si="3"/>
        <v>0</v>
      </c>
      <c r="M45" s="195">
        <f t="shared" si="4"/>
        <v>0</v>
      </c>
    </row>
    <row r="46" spans="1:16">
      <c r="A46" s="202" t="s">
        <v>1468</v>
      </c>
      <c r="B46" s="195" t="s">
        <v>1469</v>
      </c>
      <c r="C46" s="207">
        <v>1</v>
      </c>
      <c r="D46" s="207">
        <v>1</v>
      </c>
      <c r="E46" s="207">
        <v>1</v>
      </c>
      <c r="F46" s="207">
        <v>1</v>
      </c>
      <c r="G46" s="207">
        <v>1</v>
      </c>
      <c r="H46" s="207"/>
      <c r="I46" s="207"/>
      <c r="J46" s="219">
        <v>1</v>
      </c>
      <c r="K46" s="195">
        <f>IF(AND('Self-Assessment Questionnaire'!G138="Yes",'Self-Assessment Questionnaire'!G139="Yes",'Self-Assessment Questionnaire'!G140="Yes",'Self-Assessment Questionnaire'!G141="Yes"),1,0)</f>
        <v>1</v>
      </c>
      <c r="L46" s="195">
        <f t="shared" si="3"/>
        <v>0</v>
      </c>
      <c r="M46" s="195">
        <f t="shared" si="4"/>
        <v>0</v>
      </c>
    </row>
    <row r="47" spans="1:16">
      <c r="A47" s="202" t="s">
        <v>1470</v>
      </c>
      <c r="B47" s="195" t="s">
        <v>1471</v>
      </c>
      <c r="C47" s="207">
        <v>1</v>
      </c>
      <c r="D47" s="207">
        <v>1</v>
      </c>
      <c r="E47" s="207"/>
      <c r="F47" s="207">
        <v>1</v>
      </c>
      <c r="G47" s="207">
        <v>1</v>
      </c>
      <c r="H47" s="207"/>
      <c r="I47" s="207">
        <v>1</v>
      </c>
      <c r="J47" s="219">
        <v>1</v>
      </c>
      <c r="L47" s="195">
        <f t="shared" si="3"/>
        <v>0</v>
      </c>
      <c r="M47" s="195">
        <f t="shared" si="4"/>
        <v>0</v>
      </c>
    </row>
    <row r="48" spans="1:16">
      <c r="A48" s="202" t="s">
        <v>1470</v>
      </c>
      <c r="B48" s="195" t="s">
        <v>1472</v>
      </c>
      <c r="C48" s="217">
        <v>1</v>
      </c>
      <c r="D48" s="217">
        <v>1</v>
      </c>
      <c r="E48" s="217"/>
      <c r="F48" s="217"/>
      <c r="G48" s="217">
        <v>1</v>
      </c>
      <c r="H48" s="217">
        <v>1</v>
      </c>
      <c r="I48" s="217">
        <v>1</v>
      </c>
      <c r="J48" s="220">
        <v>1</v>
      </c>
      <c r="L48" s="195">
        <f t="shared" si="3"/>
        <v>0</v>
      </c>
      <c r="M48" s="195">
        <f t="shared" si="4"/>
        <v>0</v>
      </c>
    </row>
    <row r="52" spans="1:3">
      <c r="A52" s="222" t="s">
        <v>1437</v>
      </c>
      <c r="B52" s="223" t="s">
        <v>1349</v>
      </c>
      <c r="C52" s="226">
        <f t="shared" ref="C52:C63" si="5">M32</f>
        <v>0</v>
      </c>
    </row>
    <row r="53" spans="1:3">
      <c r="A53" s="222" t="s">
        <v>1445</v>
      </c>
      <c r="B53" s="223" t="s">
        <v>1351</v>
      </c>
      <c r="C53" s="226">
        <f t="shared" si="5"/>
        <v>0</v>
      </c>
    </row>
    <row r="54" spans="1:3">
      <c r="A54" s="222"/>
      <c r="B54" s="223"/>
      <c r="C54" s="226">
        <f t="shared" si="5"/>
        <v>0</v>
      </c>
    </row>
    <row r="55" spans="1:3">
      <c r="A55" s="222" t="s">
        <v>1451</v>
      </c>
      <c r="B55" s="223" t="s">
        <v>1346</v>
      </c>
      <c r="C55" s="226">
        <f t="shared" si="5"/>
        <v>0</v>
      </c>
    </row>
    <row r="56" spans="1:3">
      <c r="A56" s="222" t="s">
        <v>1455</v>
      </c>
      <c r="B56" s="223" t="s">
        <v>1347</v>
      </c>
      <c r="C56" s="226">
        <f t="shared" si="5"/>
        <v>0</v>
      </c>
    </row>
    <row r="57" spans="1:3">
      <c r="A57" s="222">
        <v>31</v>
      </c>
      <c r="B57" s="223" t="s">
        <v>756</v>
      </c>
      <c r="C57" s="226">
        <f t="shared" si="5"/>
        <v>0</v>
      </c>
    </row>
    <row r="58" spans="1:3">
      <c r="A58" s="222">
        <v>65</v>
      </c>
      <c r="B58" s="223" t="s">
        <v>855</v>
      </c>
      <c r="C58" s="226">
        <f t="shared" si="5"/>
        <v>0</v>
      </c>
    </row>
    <row r="59" spans="1:3">
      <c r="A59" s="223" t="s">
        <v>867</v>
      </c>
      <c r="B59" s="223" t="s">
        <v>867</v>
      </c>
      <c r="C59" s="226">
        <f t="shared" si="5"/>
        <v>0</v>
      </c>
    </row>
    <row r="60" spans="1:3">
      <c r="A60" s="230" t="s">
        <v>857</v>
      </c>
      <c r="B60" s="230" t="s">
        <v>857</v>
      </c>
      <c r="C60" s="226">
        <f t="shared" si="5"/>
        <v>0</v>
      </c>
    </row>
    <row r="61" spans="1:3">
      <c r="A61" s="230" t="s">
        <v>863</v>
      </c>
      <c r="B61" s="230" t="s">
        <v>863</v>
      </c>
      <c r="C61" s="226">
        <f t="shared" si="5"/>
        <v>0</v>
      </c>
    </row>
    <row r="62" spans="1:3">
      <c r="A62" s="223" t="s">
        <v>972</v>
      </c>
      <c r="B62" s="223" t="s">
        <v>972</v>
      </c>
      <c r="C62" s="226">
        <f t="shared" si="5"/>
        <v>0</v>
      </c>
    </row>
    <row r="63" spans="1:3">
      <c r="A63" s="223" t="s">
        <v>758</v>
      </c>
      <c r="B63" s="223" t="s">
        <v>758</v>
      </c>
      <c r="C63" s="226">
        <f t="shared" si="5"/>
        <v>0</v>
      </c>
    </row>
    <row r="64" spans="1:3">
      <c r="A64" s="223" t="s">
        <v>763</v>
      </c>
      <c r="B64" s="223" t="s">
        <v>763</v>
      </c>
      <c r="C64" s="226">
        <f>M43</f>
        <v>0</v>
      </c>
    </row>
    <row r="65" spans="1:3">
      <c r="A65" s="222" t="s">
        <v>1464</v>
      </c>
      <c r="B65" s="223" t="s">
        <v>1353</v>
      </c>
      <c r="C65" s="226">
        <f>M44</f>
        <v>0</v>
      </c>
    </row>
    <row r="66" spans="1:3">
      <c r="A66" s="222" t="s">
        <v>1464</v>
      </c>
      <c r="B66" s="223" t="s">
        <v>1354</v>
      </c>
      <c r="C66" s="226">
        <f>M44</f>
        <v>0</v>
      </c>
    </row>
    <row r="67" spans="1:3">
      <c r="A67" s="222" t="s">
        <v>1464</v>
      </c>
      <c r="B67" s="223" t="s">
        <v>1355</v>
      </c>
      <c r="C67" s="226">
        <f>C66</f>
        <v>0</v>
      </c>
    </row>
    <row r="68" spans="1:3">
      <c r="A68" s="222" t="s">
        <v>1464</v>
      </c>
      <c r="B68" s="223" t="s">
        <v>1356</v>
      </c>
      <c r="C68" s="226">
        <f>C67</f>
        <v>0</v>
      </c>
    </row>
    <row r="69" spans="1:3">
      <c r="A69" s="222" t="s">
        <v>1466</v>
      </c>
      <c r="B69" s="223" t="s">
        <v>1371</v>
      </c>
      <c r="C69" s="226">
        <f>M45</f>
        <v>0</v>
      </c>
    </row>
    <row r="70" spans="1:3">
      <c r="A70" s="222" t="s">
        <v>1466</v>
      </c>
      <c r="B70" s="223" t="s">
        <v>1372</v>
      </c>
      <c r="C70" s="226">
        <f>C69</f>
        <v>0</v>
      </c>
    </row>
    <row r="71" spans="1:3">
      <c r="A71" s="222" t="s">
        <v>1466</v>
      </c>
      <c r="B71" s="223" t="s">
        <v>1373</v>
      </c>
      <c r="C71" s="226">
        <f>C70</f>
        <v>0</v>
      </c>
    </row>
    <row r="72" spans="1:3">
      <c r="A72" s="222" t="s">
        <v>1466</v>
      </c>
      <c r="B72" s="223" t="s">
        <v>1374</v>
      </c>
      <c r="C72" s="226">
        <f>C71</f>
        <v>0</v>
      </c>
    </row>
    <row r="73" spans="1:3">
      <c r="A73" s="222" t="s">
        <v>1468</v>
      </c>
      <c r="B73" s="223" t="s">
        <v>1375</v>
      </c>
      <c r="C73" s="226">
        <f>M46</f>
        <v>0</v>
      </c>
    </row>
    <row r="74" spans="1:3">
      <c r="A74" s="222" t="s">
        <v>1468</v>
      </c>
      <c r="B74" s="223" t="s">
        <v>1376</v>
      </c>
      <c r="C74" s="226">
        <f>C73</f>
        <v>0</v>
      </c>
    </row>
    <row r="75" spans="1:3">
      <c r="A75" s="222" t="s">
        <v>1468</v>
      </c>
      <c r="B75" s="223" t="s">
        <v>1377</v>
      </c>
      <c r="C75" s="226">
        <f>C74</f>
        <v>0</v>
      </c>
    </row>
    <row r="76" spans="1:3">
      <c r="A76" s="222" t="s">
        <v>1468</v>
      </c>
      <c r="B76" s="223" t="s">
        <v>1378</v>
      </c>
      <c r="C76" s="226">
        <f>C75</f>
        <v>0</v>
      </c>
    </row>
    <row r="79" spans="1:3">
      <c r="A79" s="202"/>
    </row>
    <row r="80" spans="1:3">
      <c r="A80" s="20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FX"/>
  <dimension ref="A2:AG140"/>
  <sheetViews>
    <sheetView topLeftCell="P1" zoomScale="65" zoomScaleNormal="56" workbookViewId="0">
      <selection activeCell="AA21" sqref="AA21"/>
    </sheetView>
  </sheetViews>
  <sheetFormatPr defaultColWidth="13.1796875" defaultRowHeight="14.5"/>
  <cols>
    <col min="1" max="1" width="3.81640625" style="19" customWidth="1"/>
    <col min="2" max="2" width="13" style="19" customWidth="1"/>
    <col min="3" max="3" width="80.1796875" style="19" customWidth="1"/>
    <col min="4" max="4" width="15.453125" style="19" bestFit="1" customWidth="1"/>
    <col min="5" max="6" width="13.1796875" style="19" customWidth="1"/>
    <col min="7" max="9" width="13.1796875" style="19"/>
    <col min="10" max="10" width="13.1796875" style="19" customWidth="1"/>
    <col min="11" max="18" width="13.1796875" style="19"/>
    <col min="19" max="19" width="16.6328125" style="19" customWidth="1"/>
    <col min="20" max="20" width="13.1796875" style="19"/>
    <col min="21" max="21" width="13.1796875" style="21"/>
    <col min="22" max="23" width="13.1796875" style="19"/>
    <col min="24" max="24" width="13.1796875" style="19" customWidth="1"/>
    <col min="25" max="31" width="13.1796875" style="19"/>
    <col min="32" max="32" width="14.81640625" style="19" bestFit="1" customWidth="1"/>
    <col min="33" max="16384" width="13.1796875" style="19"/>
  </cols>
  <sheetData>
    <row r="2" spans="3:33" ht="26">
      <c r="Q2" s="20"/>
      <c r="R2" s="20"/>
    </row>
    <row r="3" spans="3:33" ht="23.5">
      <c r="C3" s="443" t="s">
        <v>1274</v>
      </c>
      <c r="D3" s="443"/>
      <c r="E3" s="443"/>
      <c r="F3" s="443"/>
      <c r="G3" s="443"/>
      <c r="H3" s="443"/>
      <c r="I3" s="443"/>
      <c r="J3" s="443"/>
      <c r="K3" s="443"/>
      <c r="L3" s="443"/>
      <c r="M3" s="443"/>
      <c r="N3" s="443"/>
      <c r="O3" s="443"/>
      <c r="P3" s="443"/>
      <c r="Q3" s="22"/>
      <c r="R3" s="22"/>
      <c r="U3" s="21" t="s">
        <v>1408</v>
      </c>
      <c r="W3" s="19" t="s">
        <v>1410</v>
      </c>
      <c r="Z3" s="224" t="s">
        <v>1477</v>
      </c>
      <c r="AA3" s="224" t="s">
        <v>662</v>
      </c>
      <c r="AB3" s="224" t="s">
        <v>1479</v>
      </c>
      <c r="AC3" s="224" t="s">
        <v>740</v>
      </c>
      <c r="AD3" s="224" t="s">
        <v>1480</v>
      </c>
      <c r="AE3" s="224" t="s">
        <v>1279</v>
      </c>
      <c r="AF3" s="224" t="s">
        <v>1481</v>
      </c>
      <c r="AG3" s="224" t="s">
        <v>651</v>
      </c>
    </row>
    <row r="4" spans="3:33" ht="29.5" customHeight="1">
      <c r="C4" s="444" t="s">
        <v>1275</v>
      </c>
      <c r="D4" s="444"/>
      <c r="E4" s="444"/>
      <c r="F4" s="444"/>
      <c r="G4" s="444"/>
      <c r="H4" s="444"/>
      <c r="I4" s="444"/>
      <c r="J4" s="444"/>
      <c r="K4" s="444"/>
      <c r="L4" s="444"/>
      <c r="M4" s="444"/>
      <c r="N4" s="444"/>
      <c r="O4" s="444"/>
      <c r="P4" s="444"/>
      <c r="Q4" s="23"/>
      <c r="R4" s="23"/>
      <c r="S4" s="24"/>
      <c r="U4" s="21" t="s">
        <v>662</v>
      </c>
      <c r="V4" s="19">
        <f>COUNTIFS('Self-Assessment Questionnaire'!Y:Y,1,'Self-Assessment Questionnaire'!X:X,1,'Self-Assessment Questionnaire'!G:G,"YES")+COUNTIFS('Self-Assessment Questionnaire'!Y:Y,1,'Self-Assessment Questionnaire'!X:X,1,'Self-Assessment Questionnaire'!G:G,"Not Applicable")</f>
        <v>60</v>
      </c>
      <c r="W4" s="19">
        <f>COUNTIFS('Self-Assessment Questionnaire'!X:X,1,'Self-Assessment Questionnaire'!Y:Y,1)</f>
        <v>66</v>
      </c>
      <c r="X4" s="19">
        <f>V4/W4</f>
        <v>0.90909090909090906</v>
      </c>
      <c r="Z4" s="224" t="s">
        <v>1478</v>
      </c>
      <c r="AA4" s="224">
        <f>SUMIFS('Self-Assessment Questionnaire'!$W:$W,'Self-Assessment Questionnaire'!$G:$G,FX!$AA$3)</f>
        <v>22</v>
      </c>
      <c r="AB4" s="225">
        <f>AA4/$AG$4</f>
        <v>0.91666666666666663</v>
      </c>
      <c r="AC4" s="224">
        <f>SUMIFS('Self-Assessment Questionnaire'!$W:$W,'Self-Assessment Questionnaire'!$G:$G,FX!$AC$3)</f>
        <v>2</v>
      </c>
      <c r="AD4" s="225">
        <f>AC4/$AG$4</f>
        <v>8.3333333333333329E-2</v>
      </c>
      <c r="AE4" s="224">
        <f>SUMIFS('Self-Assessment Questionnaire'!$W:$W,'Self-Assessment Questionnaire'!$G:$G,FX!$AE$3)</f>
        <v>0</v>
      </c>
      <c r="AF4" s="225">
        <f>AE4/$AG$4</f>
        <v>0</v>
      </c>
      <c r="AG4" s="224">
        <f>SUM('Self-Assessment Questionnaire'!$W:$W)-3</f>
        <v>24</v>
      </c>
    </row>
    <row r="5" spans="3:33" ht="29">
      <c r="C5" s="25" t="str">
        <f>IF(AND(((F6+K6)/E6)=1,((F7+K7)/E7)=1,((F8+K8)/E8)&gt;=0.75),C114,IF(AND(((F6+K6)/E6)=1,((F7+K7)/E7)&gt;=0.75,((F8+K8)/E8)&gt;=0.5),C113,IF(AND(((F6+K6)/E6)=1,((F7+K7)/E7)&gt;=0.5,((F8+K8)/E8)&gt;=0),C112,C111)))</f>
        <v>Gold</v>
      </c>
      <c r="D5" s="26"/>
      <c r="E5" s="27" t="s">
        <v>651</v>
      </c>
      <c r="F5" s="27" t="s">
        <v>662</v>
      </c>
      <c r="G5" s="27" t="s">
        <v>1276</v>
      </c>
      <c r="H5" s="27" t="s">
        <v>1277</v>
      </c>
      <c r="I5" s="27" t="s">
        <v>740</v>
      </c>
      <c r="J5" s="27" t="s">
        <v>1278</v>
      </c>
      <c r="K5" s="28" t="s">
        <v>1279</v>
      </c>
      <c r="L5" s="27" t="s">
        <v>1280</v>
      </c>
      <c r="M5" s="27" t="s">
        <v>1281</v>
      </c>
      <c r="N5" s="29" t="s">
        <v>1282</v>
      </c>
      <c r="O5" s="29" t="s">
        <v>1283</v>
      </c>
      <c r="P5" s="29" t="s">
        <v>1284</v>
      </c>
      <c r="Q5" s="29"/>
      <c r="R5" s="29"/>
      <c r="S5" s="24"/>
      <c r="Z5" s="224" t="s">
        <v>0</v>
      </c>
      <c r="AA5" s="224">
        <f>SUMIFS('Self-Assessment Questionnaire'!$X:$X,'Self-Assessment Questionnaire'!$G:$G,FX!$AA$3)</f>
        <v>59</v>
      </c>
      <c r="AB5" s="225">
        <f>AA5/$AG$5</f>
        <v>0.89393939393939392</v>
      </c>
      <c r="AC5" s="224">
        <f>SUMIFS('Self-Assessment Questionnaire'!$X:$X,'Self-Assessment Questionnaire'!$G:$G,FX!$AC$3)</f>
        <v>0</v>
      </c>
      <c r="AD5" s="225">
        <f>AC5/$AG$5</f>
        <v>0</v>
      </c>
      <c r="AE5" s="224">
        <f>SUMIFS('Self-Assessment Questionnaire'!$X:$X,'Self-Assessment Questionnaire'!$G:$G,FX!$AE$3)</f>
        <v>1</v>
      </c>
      <c r="AF5" s="225">
        <f>AE5/$AG$5</f>
        <v>1.5151515151515152E-2</v>
      </c>
      <c r="AG5" s="224">
        <f>SUM('Self-Assessment Questionnaire'!$X:$X)</f>
        <v>66</v>
      </c>
    </row>
    <row r="6" spans="3:33">
      <c r="C6" s="24"/>
      <c r="D6" s="30" t="str">
        <f>FX!C76</f>
        <v>Essential</v>
      </c>
      <c r="E6" s="31">
        <f>COUNTIFS('Self-Assessment Questionnaire'!$H$16:$H$268,$D6)</f>
        <v>30</v>
      </c>
      <c r="F6" s="31">
        <f>COUNTIFS('Self-Assessment Questionnaire'!$H$16:$H$268,$D6,'Self-Assessment Questionnaire'!$G$16:$G$268,"Yes")</f>
        <v>30</v>
      </c>
      <c r="G6" s="32">
        <f>+F6/E6</f>
        <v>1</v>
      </c>
      <c r="H6" s="33">
        <f>100%-G6</f>
        <v>0</v>
      </c>
      <c r="I6" s="31">
        <f>COUNTIFS('Self-Assessment Questionnaire'!$H$16:$H$268,$D6,'Self-Assessment Questionnaire'!$G$16:$G$268,"No")</f>
        <v>0</v>
      </c>
      <c r="J6" s="32">
        <f>+I6/E6</f>
        <v>0</v>
      </c>
      <c r="K6" s="31">
        <f>COUNTIFS('Self-Assessment Questionnaire'!$H$16:$H$268,$D6,'Self-Assessment Questionnaire'!$G$16:$G$268,"Not Applicable")</f>
        <v>0</v>
      </c>
      <c r="L6" s="34">
        <f>+K6/E6</f>
        <v>0</v>
      </c>
      <c r="M6" s="32">
        <f>(F6+K6)/E6</f>
        <v>1</v>
      </c>
      <c r="N6" s="35">
        <v>1</v>
      </c>
      <c r="O6" s="35">
        <v>0</v>
      </c>
      <c r="P6" s="35">
        <v>0</v>
      </c>
      <c r="Q6" s="36"/>
      <c r="R6" s="36"/>
      <c r="S6" s="24"/>
    </row>
    <row r="7" spans="3:33">
      <c r="C7" s="24"/>
      <c r="D7" s="37" t="str">
        <f>FX!C77</f>
        <v>Intermediate</v>
      </c>
      <c r="E7" s="31">
        <f>COUNTIFS('Self-Assessment Questionnaire'!$H$16:$H$268,$D7)</f>
        <v>71</v>
      </c>
      <c r="F7" s="31">
        <f>COUNTIFS('Self-Assessment Questionnaire'!$H$16:$H$268,$D7,'Self-Assessment Questionnaire'!$G$16:$G$268,"Yes")</f>
        <v>71</v>
      </c>
      <c r="G7" s="38">
        <f>+F7/E7</f>
        <v>1</v>
      </c>
      <c r="H7" s="33">
        <f>100%-G7</f>
        <v>0</v>
      </c>
      <c r="I7" s="31">
        <f>COUNTIFS('Self-Assessment Questionnaire'!$H$16:$H$268,$D7,'Self-Assessment Questionnaire'!$G$16:$G$268,"No")</f>
        <v>0</v>
      </c>
      <c r="J7" s="38">
        <f>+I7/E7</f>
        <v>0</v>
      </c>
      <c r="K7" s="31">
        <f>COUNTIFS('Self-Assessment Questionnaire'!$H$16:$H$268,$D7,'Self-Assessment Questionnaire'!$G$16:$G$268,"Not Applicable")</f>
        <v>0</v>
      </c>
      <c r="L7" s="39">
        <f>+K7/E7</f>
        <v>0</v>
      </c>
      <c r="M7" s="38">
        <f>(F7+K7)/E7</f>
        <v>1</v>
      </c>
      <c r="N7" s="40">
        <v>0.5</v>
      </c>
      <c r="O7" s="40">
        <v>0.25</v>
      </c>
      <c r="P7" s="40">
        <v>0.25</v>
      </c>
      <c r="Q7" s="36"/>
      <c r="R7" s="36"/>
      <c r="S7" s="24"/>
    </row>
    <row r="8" spans="3:33">
      <c r="C8" s="24"/>
      <c r="D8" s="41" t="str">
        <f>FX!C78</f>
        <v>Advanced</v>
      </c>
      <c r="E8" s="31">
        <f>COUNTIFS('Self-Assessment Questionnaire'!$H$16:$H$268,$D8)</f>
        <v>25</v>
      </c>
      <c r="F8" s="31">
        <f>COUNTIFS('Self-Assessment Questionnaire'!$H$16:$H$268,$D8,'Self-Assessment Questionnaire'!$G$16:$G$268,"Yes")</f>
        <v>25</v>
      </c>
      <c r="G8" s="42">
        <f>+F8/E8</f>
        <v>1</v>
      </c>
      <c r="H8" s="42">
        <f>100%-G8</f>
        <v>0</v>
      </c>
      <c r="I8" s="31">
        <f>COUNTIFS('Self-Assessment Questionnaire'!$H$16:$H$268,$D8,'Self-Assessment Questionnaire'!$G$16:$G$268,"No")</f>
        <v>0</v>
      </c>
      <c r="J8" s="42">
        <f>+I8/E8</f>
        <v>0</v>
      </c>
      <c r="K8" s="31">
        <f>COUNTIFS('Self-Assessment Questionnaire'!$H$16:$H$268,$D8,'Self-Assessment Questionnaire'!$G$16:$G$268,"Not Applicable")</f>
        <v>0</v>
      </c>
      <c r="L8" s="43">
        <f>+K8/E8</f>
        <v>0</v>
      </c>
      <c r="M8" s="42">
        <f>(F8+K8)/E8</f>
        <v>1</v>
      </c>
      <c r="N8" s="44">
        <v>0.5</v>
      </c>
      <c r="O8" s="44">
        <v>0.25</v>
      </c>
      <c r="P8" s="44">
        <v>0.25</v>
      </c>
      <c r="Q8" s="36"/>
      <c r="R8" s="36"/>
      <c r="S8" s="24"/>
    </row>
    <row r="9" spans="3:33" ht="18.75" customHeight="1">
      <c r="C9" s="29"/>
      <c r="D9" s="29"/>
      <c r="E9" s="29"/>
      <c r="F9" s="29"/>
      <c r="G9" s="29"/>
      <c r="H9" s="29"/>
      <c r="I9" s="29"/>
      <c r="J9" s="29"/>
      <c r="K9" s="29"/>
      <c r="L9" s="29"/>
      <c r="M9" s="29"/>
      <c r="N9" s="29"/>
      <c r="O9" s="29"/>
      <c r="P9" s="29"/>
      <c r="Q9" s="29"/>
      <c r="R9" s="29"/>
      <c r="S9" s="24"/>
      <c r="U9" s="19"/>
    </row>
    <row r="10" spans="3:33" ht="21">
      <c r="C10" s="443"/>
      <c r="D10" s="443"/>
      <c r="E10" s="443"/>
      <c r="F10" s="443"/>
      <c r="G10" s="443"/>
      <c r="H10" s="443"/>
      <c r="I10" s="443"/>
      <c r="J10" s="443"/>
      <c r="K10" s="443"/>
      <c r="L10" s="443"/>
      <c r="M10" s="443"/>
      <c r="N10" s="443"/>
      <c r="O10" s="443"/>
      <c r="P10" s="443"/>
      <c r="Q10" s="45"/>
      <c r="R10" s="45"/>
    </row>
    <row r="11" spans="3:33" s="47" customFormat="1" ht="29.5" thickBot="1">
      <c r="C11" s="445"/>
      <c r="D11" s="445"/>
      <c r="E11" s="445" t="s">
        <v>662</v>
      </c>
      <c r="F11" s="445"/>
      <c r="G11" s="445"/>
      <c r="H11" s="445" t="s">
        <v>740</v>
      </c>
      <c r="I11" s="445"/>
      <c r="J11" s="445"/>
      <c r="K11" s="445" t="s">
        <v>1279</v>
      </c>
      <c r="L11" s="445"/>
      <c r="M11" s="445"/>
      <c r="O11" s="446" t="s">
        <v>1285</v>
      </c>
      <c r="P11" s="446"/>
      <c r="Q11" s="46"/>
      <c r="R11" s="46"/>
      <c r="S11" s="47" t="s">
        <v>1286</v>
      </c>
      <c r="U11" s="48" t="s">
        <v>1287</v>
      </c>
      <c r="V11" s="49" t="s">
        <v>662</v>
      </c>
      <c r="W11" s="49" t="s">
        <v>740</v>
      </c>
      <c r="X11" s="50" t="s">
        <v>1288</v>
      </c>
    </row>
    <row r="12" spans="3:33">
      <c r="C12" s="432" t="str">
        <f>FX!C82</f>
        <v>Farm Management &amp; Community</v>
      </c>
      <c r="D12" s="51" t="str">
        <f>FX!$C$76</f>
        <v>Essential</v>
      </c>
      <c r="E12" s="52">
        <f>COUNTIFS('Self-Assessment Questionnaire'!$I$16:$I$268,$C$12, 'Self-Assessment Questionnaire'!$H$16:$H$268,$D12,'Self-Assessment Questionnaire'!$G$16:$G$268,E$11)</f>
        <v>6</v>
      </c>
      <c r="F12" s="53" t="s">
        <v>1289</v>
      </c>
      <c r="G12" s="51">
        <f>M12</f>
        <v>6</v>
      </c>
      <c r="H12" s="52">
        <f>COUNTIFS('Self-Assessment Questionnaire'!$I$16:$I$268,$C$12, 'Self-Assessment Questionnaire'!$H$16:$H$268,$D12,'Self-Assessment Questionnaire'!$G$16:$G$268,H$11)</f>
        <v>0</v>
      </c>
      <c r="I12" s="53" t="s">
        <v>1289</v>
      </c>
      <c r="J12" s="51">
        <f>M12</f>
        <v>6</v>
      </c>
      <c r="K12" s="52">
        <f>COUNTIFS('Self-Assessment Questionnaire'!$I$16:$I$268,$C$12, 'Self-Assessment Questionnaire'!$H$16:$H$268,$D12,'Self-Assessment Questionnaire'!$G$16:$G$268,K$11)</f>
        <v>0</v>
      </c>
      <c r="L12" s="53" t="s">
        <v>1289</v>
      </c>
      <c r="M12" s="51">
        <f>COUNTIFS('Self-Assessment Questionnaire'!$I$16:$I$268,$C$12, 'Self-Assessment Questionnaire'!$H$16:$H$268,$D12)</f>
        <v>6</v>
      </c>
      <c r="O12" s="447" t="str">
        <f>FX!$C$76</f>
        <v>Essential</v>
      </c>
      <c r="P12" s="447"/>
      <c r="Q12" s="54">
        <f>IF(G12=0,FX!$C$103,((E12+K12)/G12))</f>
        <v>1</v>
      </c>
      <c r="R12" s="54">
        <f>IF(G12=0,0,Q12)</f>
        <v>1</v>
      </c>
      <c r="S12" s="54">
        <f>IF(G12=0,0,IF(Q12&gt;0,100%-Q12,0))</f>
        <v>0</v>
      </c>
      <c r="U12" s="21" t="s">
        <v>1290</v>
      </c>
      <c r="V12" s="55" t="str">
        <f>CONCATENATE(FX!E12,FX!U12,FX!G12)</f>
        <v>6 / 6</v>
      </c>
      <c r="W12" s="56" t="str">
        <f>CONCATENATE(FX!H12,FX!U12,FX!J12)</f>
        <v>0 / 6</v>
      </c>
      <c r="X12" s="56" t="str">
        <f>CONCATENATE(FX!K12,FX!U12,FX!M12)</f>
        <v>0 / 6</v>
      </c>
    </row>
    <row r="13" spans="3:33">
      <c r="C13" s="433"/>
      <c r="D13" s="51" t="str">
        <f>FX!$C$77</f>
        <v>Intermediate</v>
      </c>
      <c r="E13" s="52">
        <f>COUNTIFS('Self-Assessment Questionnaire'!$I$16:$I$268,$C$12, 'Self-Assessment Questionnaire'!$H$16:$H$268,$D13,'Self-Assessment Questionnaire'!$G$16:$G$268,E$11)</f>
        <v>13</v>
      </c>
      <c r="F13" s="53" t="s">
        <v>1289</v>
      </c>
      <c r="G13" s="51">
        <f>M13</f>
        <v>13</v>
      </c>
      <c r="H13" s="52">
        <f>COUNTIFS('Self-Assessment Questionnaire'!$I$16:$I$268,$C$12, 'Self-Assessment Questionnaire'!$H$16:$H$268,$D13,'Self-Assessment Questionnaire'!$G$16:$G$268,H$11)</f>
        <v>0</v>
      </c>
      <c r="I13" s="53" t="s">
        <v>1289</v>
      </c>
      <c r="J13" s="51">
        <f>M13</f>
        <v>13</v>
      </c>
      <c r="K13" s="52">
        <f>COUNTIFS('Self-Assessment Questionnaire'!$I$16:$I$268,$C$12, 'Self-Assessment Questionnaire'!$H$16:$H$268,$D13,'Self-Assessment Questionnaire'!$G$16:$G$268,K$11)</f>
        <v>0</v>
      </c>
      <c r="L13" s="53" t="s">
        <v>1289</v>
      </c>
      <c r="M13" s="51">
        <f>COUNTIFS('Self-Assessment Questionnaire'!$I$16:$I$268,$C$12, 'Self-Assessment Questionnaire'!$H$16:$H$268,$D13)</f>
        <v>13</v>
      </c>
      <c r="O13" s="447" t="str">
        <f>FX!$C$77</f>
        <v>Intermediate</v>
      </c>
      <c r="P13" s="447"/>
      <c r="Q13" s="54">
        <f>IF(G13=0,FX!$C$103,((E13+K13)/G13))</f>
        <v>1</v>
      </c>
      <c r="R13" s="54">
        <f>IF(G13=0,0,Q13)</f>
        <v>1</v>
      </c>
      <c r="S13" s="54">
        <f>IF(G13=0,0,IF(Q13&gt;0,100%-Q13,0))</f>
        <v>0</v>
      </c>
      <c r="U13" s="21" t="s">
        <v>1290</v>
      </c>
      <c r="V13" s="55" t="str">
        <f>CONCATENATE(FX!E13,FX!U13,FX!G13)</f>
        <v>13 / 13</v>
      </c>
      <c r="W13" s="56" t="str">
        <f>CONCATENATE(FX!H13,FX!U13,FX!J13)</f>
        <v>0 / 13</v>
      </c>
      <c r="X13" s="56" t="str">
        <f>CONCATENATE(FX!K13,FX!U13,FX!M13)</f>
        <v>0 / 13</v>
      </c>
    </row>
    <row r="14" spans="3:33">
      <c r="C14" s="433"/>
      <c r="D14" s="51" t="str">
        <f>FX!$C$78</f>
        <v>Advanced</v>
      </c>
      <c r="E14" s="52">
        <f>COUNTIFS('Self-Assessment Questionnaire'!$I$16:$I$268,$C$12, 'Self-Assessment Questionnaire'!$H$16:$H$268,$D14,'Self-Assessment Questionnaire'!$G$16:$G$268,E$11)</f>
        <v>5</v>
      </c>
      <c r="F14" s="53" t="s">
        <v>1289</v>
      </c>
      <c r="G14" s="51">
        <f>M14</f>
        <v>5</v>
      </c>
      <c r="H14" s="52">
        <f>COUNTIFS('Self-Assessment Questionnaire'!$I$16:$I$268,$C$12, 'Self-Assessment Questionnaire'!$H$16:$H$268,$D14,'Self-Assessment Questionnaire'!$G$16:$G$268,H$11)</f>
        <v>0</v>
      </c>
      <c r="I14" s="53" t="s">
        <v>1289</v>
      </c>
      <c r="J14" s="51">
        <f>M14</f>
        <v>5</v>
      </c>
      <c r="K14" s="52">
        <f>COUNTIFS('Self-Assessment Questionnaire'!$I$16:$I$268,$C$12, 'Self-Assessment Questionnaire'!$H$16:$H$268,$D14,'Self-Assessment Questionnaire'!$G$16:$G$268,K$11)</f>
        <v>0</v>
      </c>
      <c r="L14" s="53" t="s">
        <v>1289</v>
      </c>
      <c r="M14" s="51">
        <f>COUNTIFS('Self-Assessment Questionnaire'!$I$16:$I$268,$C$12, 'Self-Assessment Questionnaire'!$H$16:$H$268,$D14)</f>
        <v>5</v>
      </c>
      <c r="O14" s="447" t="str">
        <f>FX!$C$78</f>
        <v>Advanced</v>
      </c>
      <c r="P14" s="447"/>
      <c r="Q14" s="54">
        <f>IF(G14=0,FX!$C$103,((E14+K14)/G14))</f>
        <v>1</v>
      </c>
      <c r="R14" s="54">
        <f>IF(G14=0,0,Q14)</f>
        <v>1</v>
      </c>
      <c r="S14" s="54">
        <f>IF(G14=0,0,IF(Q14&gt;0,100%-Q14,0))</f>
        <v>0</v>
      </c>
      <c r="U14" s="21" t="s">
        <v>1290</v>
      </c>
      <c r="V14" s="55" t="str">
        <f>CONCATENATE(FX!E14,FX!U14,FX!G14)</f>
        <v>5 / 5</v>
      </c>
      <c r="W14" s="56" t="str">
        <f>CONCATENATE(FX!H14,FX!U14,FX!J14)</f>
        <v>0 / 5</v>
      </c>
      <c r="X14" s="56" t="str">
        <f>CONCATENATE(FX!K14,FX!U14,FX!M14)</f>
        <v>0 / 5</v>
      </c>
    </row>
    <row r="15" spans="3:33" ht="15" thickBot="1">
      <c r="C15" s="434"/>
      <c r="D15" s="51" t="str">
        <f>FX!$C$79</f>
        <v>Not Applicable</v>
      </c>
      <c r="E15" s="52">
        <f>COUNTIFS('Self-Assessment Questionnaire'!$I$16:$I$268,$C$12, 'Self-Assessment Questionnaire'!$H$16:$H$268,$D15)</f>
        <v>0</v>
      </c>
      <c r="F15" s="51" t="s">
        <v>1291</v>
      </c>
      <c r="G15" s="52"/>
      <c r="H15" s="52"/>
      <c r="I15" s="52"/>
      <c r="J15" s="52"/>
      <c r="K15" s="52"/>
      <c r="L15" s="52"/>
      <c r="M15" s="52"/>
      <c r="O15" s="447" t="str">
        <f>FX!$C$79</f>
        <v>Not Applicable</v>
      </c>
      <c r="P15" s="447"/>
      <c r="Q15" s="54" t="str">
        <f>IF(SUM(K12:K14)=0,C101,(SUM(K12:K14)/(SUM(M12:M14))))</f>
        <v>All</v>
      </c>
      <c r="R15" s="54">
        <f>IF(G15=0,0,Q15)</f>
        <v>0</v>
      </c>
      <c r="S15" s="54">
        <f>IF(G15=0,0,IF(Q15&gt;0,100%-Q15,0))</f>
        <v>0</v>
      </c>
      <c r="V15" s="55" t="str">
        <f>CONCATENATE(FX!E15,FX!U15,FX!G15)</f>
        <v>0</v>
      </c>
      <c r="W15" s="56" t="str">
        <f>CONCATENATE(FX!H15,FX!U15,FX!J15)</f>
        <v/>
      </c>
      <c r="X15" s="56" t="str">
        <f>CONCATENATE(FX!K15,FX!U15,FX!M15)</f>
        <v/>
      </c>
    </row>
    <row r="16" spans="3:33" ht="18.5" thickBot="1">
      <c r="C16" s="57"/>
      <c r="D16" s="58"/>
      <c r="E16" s="58"/>
      <c r="F16" s="58"/>
      <c r="G16" s="58"/>
      <c r="H16" s="58"/>
      <c r="I16" s="58"/>
      <c r="J16" s="58"/>
      <c r="K16" s="58"/>
      <c r="L16" s="58"/>
      <c r="M16" s="58"/>
      <c r="O16" s="58"/>
      <c r="P16" s="58"/>
      <c r="Q16" s="58"/>
      <c r="R16" s="58"/>
      <c r="S16" s="58"/>
      <c r="V16" s="59" t="str">
        <f>CONCATENATE(FX!E16,FX!U16,FX!G16)</f>
        <v/>
      </c>
      <c r="W16" s="59" t="str">
        <f>CONCATENATE(FX!H16,FX!U16,FX!J16)</f>
        <v/>
      </c>
      <c r="X16" s="59" t="str">
        <f>CONCATENATE(FX!K16,FX!U16,FX!M16)</f>
        <v/>
      </c>
    </row>
    <row r="17" spans="3:24">
      <c r="C17" s="432" t="str">
        <f>FX!C83</f>
        <v>Plant Material Selection &amp; Propagation</v>
      </c>
      <c r="D17" s="51" t="str">
        <f>FX!$C$76</f>
        <v>Essential</v>
      </c>
      <c r="E17" s="52">
        <f>COUNTIFS('Self-Assessment Questionnaire'!$I$16:$I$268,$C$17, 'Self-Assessment Questionnaire'!$H$16:$H$268,$D17,'Self-Assessment Questionnaire'!$G$16:$G$268,E$11)</f>
        <v>1</v>
      </c>
      <c r="F17" s="53" t="s">
        <v>1289</v>
      </c>
      <c r="G17" s="51">
        <f>M17</f>
        <v>1</v>
      </c>
      <c r="H17" s="52">
        <f>COUNTIFS('Self-Assessment Questionnaire'!$I$16:$I$268,$C$17, 'Self-Assessment Questionnaire'!$H$16:$H$268,$D17,'Self-Assessment Questionnaire'!$G$16:$G$268,H$11)</f>
        <v>0</v>
      </c>
      <c r="I17" s="53" t="s">
        <v>1289</v>
      </c>
      <c r="J17" s="51">
        <f>M17</f>
        <v>1</v>
      </c>
      <c r="K17" s="52">
        <f>COUNTIFS('Self-Assessment Questionnaire'!$I$16:$I$268,$C$17, 'Self-Assessment Questionnaire'!$H$16:$H$268,$D17,'Self-Assessment Questionnaire'!$G$16:$G$268,K$11)</f>
        <v>0</v>
      </c>
      <c r="L17" s="53" t="s">
        <v>1289</v>
      </c>
      <c r="M17" s="51">
        <f>COUNTIFS('Self-Assessment Questionnaire'!$I$16:$I$268,$C$17, 'Self-Assessment Questionnaire'!$H$16:$H$268,$D17)</f>
        <v>1</v>
      </c>
      <c r="O17" s="440" t="str">
        <f>FX!$C$76</f>
        <v>Essential</v>
      </c>
      <c r="P17" s="441"/>
      <c r="Q17" s="60">
        <f>IF(G17=0,FX!$C$103,((E17+K17)/G17))</f>
        <v>1</v>
      </c>
      <c r="R17" s="54">
        <f>IF(G17=0,0,Q17)</f>
        <v>1</v>
      </c>
      <c r="S17" s="60">
        <f>IF(G17=0,0,IF(Q17&gt;0,100%-Q17,0))</f>
        <v>0</v>
      </c>
      <c r="U17" s="21" t="s">
        <v>1290</v>
      </c>
      <c r="V17" s="55" t="str">
        <f>CONCATENATE(FX!E17,FX!U17,FX!G17)</f>
        <v>1 / 1</v>
      </c>
      <c r="W17" s="56" t="str">
        <f>CONCATENATE(FX!H17,FX!U17,FX!J17)</f>
        <v>0 / 1</v>
      </c>
      <c r="X17" s="56" t="str">
        <f>CONCATENATE(FX!K17,FX!U17,FX!M17)</f>
        <v>0 / 1</v>
      </c>
    </row>
    <row r="18" spans="3:24">
      <c r="C18" s="433"/>
      <c r="D18" s="51" t="str">
        <f>FX!$C$77</f>
        <v>Intermediate</v>
      </c>
      <c r="E18" s="52">
        <f>COUNTIFS('Self-Assessment Questionnaire'!$I$16:$I$268,$C$17, 'Self-Assessment Questionnaire'!$H$16:$H$268,$D18,'Self-Assessment Questionnaire'!$G$16:$G$268,E$11)</f>
        <v>4</v>
      </c>
      <c r="F18" s="53" t="s">
        <v>1289</v>
      </c>
      <c r="G18" s="51">
        <f>M18</f>
        <v>4</v>
      </c>
      <c r="H18" s="52">
        <f>COUNTIFS('Self-Assessment Questionnaire'!$I$16:$I$268,$C$17, 'Self-Assessment Questionnaire'!$H$16:$H$268,$D18,'Self-Assessment Questionnaire'!$G$16:$G$268,H$11)</f>
        <v>0</v>
      </c>
      <c r="I18" s="53" t="s">
        <v>1289</v>
      </c>
      <c r="J18" s="51">
        <f>M18</f>
        <v>4</v>
      </c>
      <c r="K18" s="52">
        <f>COUNTIFS('Self-Assessment Questionnaire'!$I$16:$I$268,$C$17, 'Self-Assessment Questionnaire'!$H$16:$H$268,$D18,'Self-Assessment Questionnaire'!$G$16:$G$268,K$11)</f>
        <v>0</v>
      </c>
      <c r="L18" s="53" t="s">
        <v>1289</v>
      </c>
      <c r="M18" s="51">
        <f>COUNTIFS('Self-Assessment Questionnaire'!$I$16:$I$268,$C$17, 'Self-Assessment Questionnaire'!$H$16:$H$268,$D18)</f>
        <v>4</v>
      </c>
      <c r="O18" s="435" t="str">
        <f>FX!$C$77</f>
        <v>Intermediate</v>
      </c>
      <c r="P18" s="436"/>
      <c r="Q18" s="63">
        <f>IF(G18=0,FX!$C$103,((E18+K18)/G18))</f>
        <v>1</v>
      </c>
      <c r="R18" s="54">
        <f>IF(G18=0,0,Q18)</f>
        <v>1</v>
      </c>
      <c r="S18" s="63">
        <f>IF(G18=0,0,IF(Q18&gt;0,100%-Q18,0))</f>
        <v>0</v>
      </c>
      <c r="U18" s="21" t="s">
        <v>1290</v>
      </c>
      <c r="V18" s="55" t="str">
        <f>CONCATENATE(FX!E18,FX!U18,FX!G18)</f>
        <v>4 / 4</v>
      </c>
      <c r="W18" s="56" t="str">
        <f>CONCATENATE(FX!H18,FX!U18,FX!J18)</f>
        <v>0 / 4</v>
      </c>
      <c r="X18" s="56" t="str">
        <f>CONCATENATE(FX!K18,FX!U18,FX!M18)</f>
        <v>0 / 4</v>
      </c>
    </row>
    <row r="19" spans="3:24">
      <c r="C19" s="433"/>
      <c r="D19" s="51" t="str">
        <f>FX!$C$78</f>
        <v>Advanced</v>
      </c>
      <c r="E19" s="52">
        <f>COUNTIFS('Self-Assessment Questionnaire'!$I$16:$I$268,$C$17, 'Self-Assessment Questionnaire'!$H$16:$H$268,$D19,'Self-Assessment Questionnaire'!$G$16:$G$268,E$11)</f>
        <v>3</v>
      </c>
      <c r="F19" s="53" t="s">
        <v>1289</v>
      </c>
      <c r="G19" s="51">
        <f>M19</f>
        <v>3</v>
      </c>
      <c r="H19" s="52">
        <f>COUNTIFS('Self-Assessment Questionnaire'!$I$16:$I$268,$C$17, 'Self-Assessment Questionnaire'!$H$16:$H$268,$D19,'Self-Assessment Questionnaire'!$G$16:$G$268,H$11)</f>
        <v>0</v>
      </c>
      <c r="I19" s="53" t="s">
        <v>1289</v>
      </c>
      <c r="J19" s="51">
        <f>M19</f>
        <v>3</v>
      </c>
      <c r="K19" s="52">
        <f>COUNTIFS('Self-Assessment Questionnaire'!$I$16:$I$268,$C$17, 'Self-Assessment Questionnaire'!$H$16:$H$268,$D19,'Self-Assessment Questionnaire'!$G$16:$G$268,K$11)</f>
        <v>0</v>
      </c>
      <c r="L19" s="53" t="s">
        <v>1289</v>
      </c>
      <c r="M19" s="51">
        <f>COUNTIFS('Self-Assessment Questionnaire'!$I$16:$I$268,$C$17, 'Self-Assessment Questionnaire'!$H$16:$H$268,$D19)</f>
        <v>3</v>
      </c>
      <c r="O19" s="435" t="str">
        <f>FX!$C$78</f>
        <v>Advanced</v>
      </c>
      <c r="P19" s="436"/>
      <c r="Q19" s="63">
        <f>IF(G19=0,FX!$C$103,((E19+K19)/G19))</f>
        <v>1</v>
      </c>
      <c r="R19" s="54">
        <f>IF(G19=0,0,Q19)</f>
        <v>1</v>
      </c>
      <c r="S19" s="63">
        <f>IF(G19=0,0,IF(Q19&gt;0,100%-Q19,0))</f>
        <v>0</v>
      </c>
      <c r="U19" s="21" t="s">
        <v>1290</v>
      </c>
      <c r="V19" s="55" t="str">
        <f>CONCATENATE(FX!E19,FX!U19,FX!G19)</f>
        <v>3 / 3</v>
      </c>
      <c r="W19" s="56" t="str">
        <f>CONCATENATE(FX!H19,FX!U19,FX!J19)</f>
        <v>0 / 3</v>
      </c>
      <c r="X19" s="56" t="str">
        <f>CONCATENATE(FX!K19,FX!U19,FX!M19)</f>
        <v>0 / 3</v>
      </c>
    </row>
    <row r="20" spans="3:24" ht="15" thickBot="1">
      <c r="C20" s="434"/>
      <c r="D20" s="51" t="str">
        <f>FX!$C$79</f>
        <v>Not Applicable</v>
      </c>
      <c r="E20" s="52">
        <f>COUNTIFS('Self-Assessment Questionnaire'!$I$16:$I$268,$C$17, 'Self-Assessment Questionnaire'!$H$16:$H$268,$D20)</f>
        <v>0</v>
      </c>
      <c r="F20" s="51" t="s">
        <v>1291</v>
      </c>
      <c r="G20" s="52"/>
      <c r="H20" s="52"/>
      <c r="I20" s="52"/>
      <c r="J20" s="52"/>
      <c r="K20" s="52"/>
      <c r="L20" s="52"/>
      <c r="M20" s="52"/>
      <c r="O20" s="435" t="str">
        <f>FX!$C$79</f>
        <v>Not Applicable</v>
      </c>
      <c r="P20" s="436"/>
      <c r="Q20" s="63" t="str">
        <f>IF(SUM(K17:K19)=0,C101,(SUM(K17:K19)/(SUM(M17:M19))))</f>
        <v>All</v>
      </c>
      <c r="R20" s="54">
        <f>IF(G20=0,0,Q20)</f>
        <v>0</v>
      </c>
      <c r="S20" s="63">
        <f>IF(G20=0,0,IF(Q20&gt;0,100%-Q20,0))</f>
        <v>0</v>
      </c>
      <c r="V20" s="55" t="str">
        <f>CONCATENATE(FX!E20,FX!U20,FX!G20)</f>
        <v>0</v>
      </c>
      <c r="W20" s="56" t="str">
        <f>CONCATENATE(FX!H20,FX!U20,FX!J20)</f>
        <v/>
      </c>
      <c r="X20" s="56" t="str">
        <f>CONCATENATE(FX!K20,FX!U20,FX!M20)</f>
        <v/>
      </c>
    </row>
    <row r="21" spans="3:24" ht="18.5" thickBot="1">
      <c r="C21" s="57"/>
      <c r="D21" s="58"/>
      <c r="E21" s="58"/>
      <c r="F21" s="58"/>
      <c r="G21" s="58"/>
      <c r="H21" s="58"/>
      <c r="I21" s="58"/>
      <c r="J21" s="58"/>
      <c r="K21" s="58"/>
      <c r="L21" s="58"/>
      <c r="M21" s="58"/>
      <c r="O21" s="58"/>
      <c r="P21" s="58"/>
      <c r="Q21" s="58"/>
      <c r="R21" s="58"/>
      <c r="S21" s="58"/>
      <c r="V21" s="59" t="str">
        <f>CONCATENATE(FX!E21,FX!U21,FX!G21)</f>
        <v/>
      </c>
      <c r="W21" s="59" t="str">
        <f>CONCATENATE(FX!H21,FX!U21,FX!J21)</f>
        <v/>
      </c>
      <c r="X21" s="59" t="str">
        <f>CONCATENATE(FX!K21,FX!U21,FX!M21)</f>
        <v/>
      </c>
    </row>
    <row r="22" spans="3:24">
      <c r="C22" s="432" t="str">
        <f>FX!C84</f>
        <v>Soil Management</v>
      </c>
      <c r="D22" s="51" t="str">
        <f>FX!$C$76</f>
        <v>Essential</v>
      </c>
      <c r="E22" s="52">
        <f>COUNTIFS('Self-Assessment Questionnaire'!$I$16:$I$268,$C$22, 'Self-Assessment Questionnaire'!$H$16:$H$268,$D22,'Self-Assessment Questionnaire'!$G$16:$G$268,E$11)</f>
        <v>0</v>
      </c>
      <c r="F22" s="53" t="s">
        <v>1289</v>
      </c>
      <c r="G22" s="51">
        <f>M22</f>
        <v>0</v>
      </c>
      <c r="H22" s="52">
        <f>COUNTIFS('Self-Assessment Questionnaire'!$I$16:$I$268,$C$22, 'Self-Assessment Questionnaire'!$H$16:$H$268,$D22,'Self-Assessment Questionnaire'!$G$16:$G$268,H$11)</f>
        <v>0</v>
      </c>
      <c r="I22" s="53" t="s">
        <v>1289</v>
      </c>
      <c r="J22" s="51">
        <f>M22</f>
        <v>0</v>
      </c>
      <c r="K22" s="52">
        <f>COUNTIFS('Self-Assessment Questionnaire'!$I$16:$I$268,$C$22, 'Self-Assessment Questionnaire'!$H$16:$H$268,$D22,'Self-Assessment Questionnaire'!$G$16:$G$268,K$11)</f>
        <v>0</v>
      </c>
      <c r="L22" s="53" t="s">
        <v>1289</v>
      </c>
      <c r="M22" s="51">
        <f>COUNTIFS('Self-Assessment Questionnaire'!$I$16:$I$268,$C$22, 'Self-Assessment Questionnaire'!$H$16:$H$268,$D22)</f>
        <v>0</v>
      </c>
      <c r="O22" s="435" t="str">
        <f>FX!$C$76</f>
        <v>Essential</v>
      </c>
      <c r="P22" s="436"/>
      <c r="Q22" s="63" t="str">
        <f>IF(G22=0,FX!$C$103,((E22+K22)/G22))</f>
        <v>-</v>
      </c>
      <c r="R22" s="54">
        <f>IF(G22=0,0,Q22)</f>
        <v>0</v>
      </c>
      <c r="S22" s="63">
        <f>IF(G22=0,0,IF(Q22&gt;0,100%-Q22,0))</f>
        <v>0</v>
      </c>
      <c r="U22" s="21" t="s">
        <v>1290</v>
      </c>
      <c r="V22" s="55" t="str">
        <f>CONCATENATE(FX!E22,FX!U22,FX!G22)</f>
        <v>0 / 0</v>
      </c>
      <c r="W22" s="56" t="str">
        <f>CONCATENATE(FX!H22,FX!U22,FX!J22)</f>
        <v>0 / 0</v>
      </c>
      <c r="X22" s="56" t="str">
        <f>CONCATENATE(FX!K22,FX!U22,FX!M22)</f>
        <v>0 / 0</v>
      </c>
    </row>
    <row r="23" spans="3:24">
      <c r="C23" s="433"/>
      <c r="D23" s="51" t="str">
        <f>FX!$C$77</f>
        <v>Intermediate</v>
      </c>
      <c r="E23" s="52">
        <f>COUNTIFS('Self-Assessment Questionnaire'!$I$16:$I$268,$C$22, 'Self-Assessment Questionnaire'!$H$16:$H$268,$D23,'Self-Assessment Questionnaire'!$G$16:$G$268,E$11)</f>
        <v>7</v>
      </c>
      <c r="F23" s="53" t="s">
        <v>1289</v>
      </c>
      <c r="G23" s="51">
        <f>M23</f>
        <v>7</v>
      </c>
      <c r="H23" s="52">
        <f>COUNTIFS('Self-Assessment Questionnaire'!$I$16:$I$268,$C$22, 'Self-Assessment Questionnaire'!$H$16:$H$268,$D23,'Self-Assessment Questionnaire'!$G$16:$G$268,H$11)</f>
        <v>0</v>
      </c>
      <c r="I23" s="53" t="s">
        <v>1289</v>
      </c>
      <c r="J23" s="51">
        <f>M23</f>
        <v>7</v>
      </c>
      <c r="K23" s="52">
        <f>COUNTIFS('Self-Assessment Questionnaire'!$I$16:$I$268,$C$22, 'Self-Assessment Questionnaire'!$H$16:$H$268,$D23,'Self-Assessment Questionnaire'!$G$16:$G$268,K$11)</f>
        <v>0</v>
      </c>
      <c r="L23" s="53" t="s">
        <v>1289</v>
      </c>
      <c r="M23" s="51">
        <f>COUNTIFS('Self-Assessment Questionnaire'!$I$16:$I$268,$C$22, 'Self-Assessment Questionnaire'!$H$16:$H$268,$D23)</f>
        <v>7</v>
      </c>
      <c r="O23" s="435" t="str">
        <f>FX!$C$77</f>
        <v>Intermediate</v>
      </c>
      <c r="P23" s="436"/>
      <c r="Q23" s="63">
        <f>IF(G23=0,FX!$C$103,((E23+K23)/G23))</f>
        <v>1</v>
      </c>
      <c r="R23" s="54">
        <f>IF(G23=0,0,Q23)</f>
        <v>1</v>
      </c>
      <c r="S23" s="63">
        <f>IF(G23=0,0,IF(Q23&gt;0,100%-Q23,0))</f>
        <v>0</v>
      </c>
      <c r="U23" s="21" t="s">
        <v>1290</v>
      </c>
      <c r="V23" s="55" t="str">
        <f>CONCATENATE(FX!E23,FX!U23,FX!G23)</f>
        <v>7 / 7</v>
      </c>
      <c r="W23" s="56" t="str">
        <f>CONCATENATE(FX!H23,FX!U23,FX!J23)</f>
        <v>0 / 7</v>
      </c>
      <c r="X23" s="56" t="str">
        <f>CONCATENATE(FX!K23,FX!U23,FX!M23)</f>
        <v>0 / 7</v>
      </c>
    </row>
    <row r="24" spans="3:24">
      <c r="C24" s="433"/>
      <c r="D24" s="51" t="str">
        <f>FX!$C$78</f>
        <v>Advanced</v>
      </c>
      <c r="E24" s="52">
        <f>COUNTIFS('Self-Assessment Questionnaire'!$I$16:$I$268,$C$22, 'Self-Assessment Questionnaire'!$H$16:$H$268,$D24,'Self-Assessment Questionnaire'!$G$16:$G$268,E$11)</f>
        <v>2</v>
      </c>
      <c r="F24" s="53" t="s">
        <v>1289</v>
      </c>
      <c r="G24" s="51">
        <f>M24</f>
        <v>2</v>
      </c>
      <c r="H24" s="52">
        <f>COUNTIFS('Self-Assessment Questionnaire'!$I$16:$I$268,$C$22, 'Self-Assessment Questionnaire'!$H$16:$H$268,$D24,'Self-Assessment Questionnaire'!$G$16:$G$268,H$11)</f>
        <v>0</v>
      </c>
      <c r="I24" s="53" t="s">
        <v>1289</v>
      </c>
      <c r="J24" s="51">
        <f>M24</f>
        <v>2</v>
      </c>
      <c r="K24" s="52">
        <f>COUNTIFS('Self-Assessment Questionnaire'!$I$16:$I$268,$C$22, 'Self-Assessment Questionnaire'!$H$16:$H$268,$D24,'Self-Assessment Questionnaire'!$G$16:$G$268,K$11)</f>
        <v>0</v>
      </c>
      <c r="L24" s="53" t="s">
        <v>1289</v>
      </c>
      <c r="M24" s="51">
        <f>COUNTIFS('Self-Assessment Questionnaire'!$I$16:$I$268,$C$22, 'Self-Assessment Questionnaire'!$H$16:$H$268,$D24)</f>
        <v>2</v>
      </c>
      <c r="O24" s="435" t="str">
        <f>FX!$C$78</f>
        <v>Advanced</v>
      </c>
      <c r="P24" s="436"/>
      <c r="Q24" s="63">
        <f>IF(G24=0,FX!$C$103,((E24+K24)/G24))</f>
        <v>1</v>
      </c>
      <c r="R24" s="54">
        <f>IF(G24=0,0,Q24)</f>
        <v>1</v>
      </c>
      <c r="S24" s="63">
        <f>IF(G24=0,0,IF(Q24&gt;0,100%-Q24,0))</f>
        <v>0</v>
      </c>
      <c r="U24" s="21" t="s">
        <v>1290</v>
      </c>
      <c r="V24" s="55" t="str">
        <f>CONCATENATE(FX!E24,FX!U24,FX!G24)</f>
        <v>2 / 2</v>
      </c>
      <c r="W24" s="56" t="str">
        <f>CONCATENATE(FX!H24,FX!U24,FX!J24)</f>
        <v>0 / 2</v>
      </c>
      <c r="X24" s="56" t="str">
        <f>CONCATENATE(FX!K24,FX!U24,FX!M24)</f>
        <v>0 / 2</v>
      </c>
    </row>
    <row r="25" spans="3:24" ht="15" thickBot="1">
      <c r="C25" s="434"/>
      <c r="D25" s="51" t="str">
        <f>FX!$C$79</f>
        <v>Not Applicable</v>
      </c>
      <c r="E25" s="52">
        <f>COUNTIFS('Self-Assessment Questionnaire'!$I$16:$I$268,$C$22, 'Self-Assessment Questionnaire'!$H$16:$H$268,$D25)</f>
        <v>0</v>
      </c>
      <c r="F25" s="51" t="s">
        <v>1291</v>
      </c>
      <c r="G25" s="52"/>
      <c r="H25" s="52"/>
      <c r="I25" s="52"/>
      <c r="J25" s="52"/>
      <c r="K25" s="52"/>
      <c r="L25" s="52"/>
      <c r="M25" s="52"/>
      <c r="O25" s="435" t="str">
        <f>FX!$C$79</f>
        <v>Not Applicable</v>
      </c>
      <c r="P25" s="436"/>
      <c r="Q25" s="63" t="str">
        <f>IF(SUM(K22:K24)=0,C101,(SUM(K22:K24)/(SUM(M22:M24))))</f>
        <v>All</v>
      </c>
      <c r="R25" s="54">
        <f>IF(G25=0,0,Q25)</f>
        <v>0</v>
      </c>
      <c r="S25" s="63">
        <f>IF(G25=0,0,IF(Q25&gt;0,100%-Q25,0))</f>
        <v>0</v>
      </c>
      <c r="V25" s="55" t="str">
        <f>CONCATENATE(FX!E25,FX!U25,FX!G25)</f>
        <v>0</v>
      </c>
      <c r="W25" s="56" t="str">
        <f>CONCATENATE(FX!H25,FX!U25,FX!J25)</f>
        <v/>
      </c>
      <c r="X25" s="56" t="str">
        <f>CONCATENATE(FX!K25,FX!U25,FX!M25)</f>
        <v/>
      </c>
    </row>
    <row r="26" spans="3:24" ht="18.5" thickBot="1">
      <c r="C26" s="57"/>
      <c r="D26" s="58"/>
      <c r="E26" s="58"/>
      <c r="F26" s="58"/>
      <c r="G26" s="58"/>
      <c r="H26" s="58"/>
      <c r="I26" s="58"/>
      <c r="J26" s="58"/>
      <c r="K26" s="58"/>
      <c r="L26" s="58"/>
      <c r="M26" s="58"/>
      <c r="O26" s="58"/>
      <c r="P26" s="58"/>
      <c r="Q26" s="58"/>
      <c r="R26" s="58"/>
      <c r="S26" s="58"/>
      <c r="V26" s="59" t="str">
        <f>CONCATENATE(FX!E26,FX!U26,FX!G26)</f>
        <v/>
      </c>
      <c r="W26" s="59" t="str">
        <f>CONCATENATE(FX!H26,FX!U26,FX!J26)</f>
        <v/>
      </c>
      <c r="X26" s="59" t="str">
        <f>CONCATENATE(FX!K26,FX!U26,FX!M26)</f>
        <v/>
      </c>
    </row>
    <row r="27" spans="3:24">
      <c r="C27" s="432" t="str">
        <f>FX!C85</f>
        <v>Nutrient Management</v>
      </c>
      <c r="D27" s="51" t="str">
        <f>FX!$C$76</f>
        <v>Essential</v>
      </c>
      <c r="E27" s="52">
        <f>COUNTIFS('Self-Assessment Questionnaire'!$I$16:$I$268,$C$27, 'Self-Assessment Questionnaire'!$H$16:$H$268,$D27,'Self-Assessment Questionnaire'!$G$16:$G$268,E$11)</f>
        <v>0</v>
      </c>
      <c r="F27" s="53" t="s">
        <v>1289</v>
      </c>
      <c r="G27" s="51">
        <f>M27</f>
        <v>0</v>
      </c>
      <c r="H27" s="52">
        <f>COUNTIFS('Self-Assessment Questionnaire'!$I$16:$I$268,$C$27, 'Self-Assessment Questionnaire'!$H$16:$H$268,$D27,'Self-Assessment Questionnaire'!$G$16:$G$268,H$11)</f>
        <v>0</v>
      </c>
      <c r="I27" s="53" t="s">
        <v>1289</v>
      </c>
      <c r="J27" s="51">
        <f>M27</f>
        <v>0</v>
      </c>
      <c r="K27" s="52">
        <f>COUNTIFS('Self-Assessment Questionnaire'!$I$16:$I$268,$C$27, 'Self-Assessment Questionnaire'!$H$16:$H$268,$D27,'Self-Assessment Questionnaire'!$G$16:$G$268,K$11)</f>
        <v>0</v>
      </c>
      <c r="L27" s="53" t="s">
        <v>1289</v>
      </c>
      <c r="M27" s="51">
        <f>COUNTIFS('Self-Assessment Questionnaire'!$I$16:$I$268,$C$27, 'Self-Assessment Questionnaire'!$H$16:$H$268,$D27)</f>
        <v>0</v>
      </c>
      <c r="O27" s="435" t="str">
        <f>FX!$C$76</f>
        <v>Essential</v>
      </c>
      <c r="P27" s="436"/>
      <c r="Q27" s="63" t="str">
        <f>IF(G27=0,FX!$C$103,((E27+K27)/G27))</f>
        <v>-</v>
      </c>
      <c r="R27" s="54">
        <f>IF(G27=0,0,Q27)</f>
        <v>0</v>
      </c>
      <c r="S27" s="63">
        <f>IF(G27=0,0,IF(Q27&gt;0,100%-Q27,0))</f>
        <v>0</v>
      </c>
      <c r="U27" s="21" t="s">
        <v>1290</v>
      </c>
      <c r="V27" s="55" t="str">
        <f>CONCATENATE(FX!E27,FX!U27,FX!G27)</f>
        <v>0 / 0</v>
      </c>
      <c r="W27" s="56" t="str">
        <f>CONCATENATE(FX!H27,FX!U27,FX!J27)</f>
        <v>0 / 0</v>
      </c>
      <c r="X27" s="56" t="str">
        <f>CONCATENATE(FX!K27,FX!U27,FX!M27)</f>
        <v>0 / 0</v>
      </c>
    </row>
    <row r="28" spans="3:24">
      <c r="C28" s="433"/>
      <c r="D28" s="51" t="str">
        <f>FX!$C$77</f>
        <v>Intermediate</v>
      </c>
      <c r="E28" s="52">
        <f>COUNTIFS('Self-Assessment Questionnaire'!$I$16:$I$268,$C$27, 'Self-Assessment Questionnaire'!$H$16:$H$268,$D28,'Self-Assessment Questionnaire'!$G$16:$G$268,E$11)</f>
        <v>9</v>
      </c>
      <c r="F28" s="53" t="s">
        <v>1289</v>
      </c>
      <c r="G28" s="51">
        <f>M28</f>
        <v>9</v>
      </c>
      <c r="H28" s="52">
        <f>COUNTIFS('Self-Assessment Questionnaire'!$I$16:$I$268,$C$27, 'Self-Assessment Questionnaire'!$H$16:$H$268,$D28,'Self-Assessment Questionnaire'!$G$16:$G$268,H$11)</f>
        <v>0</v>
      </c>
      <c r="I28" s="53" t="s">
        <v>1289</v>
      </c>
      <c r="J28" s="51">
        <f>M28</f>
        <v>9</v>
      </c>
      <c r="K28" s="52">
        <f>COUNTIFS('Self-Assessment Questionnaire'!$I$16:$I$268,$C$27, 'Self-Assessment Questionnaire'!$H$16:$H$268,$D28,'Self-Assessment Questionnaire'!$G$16:$G$268,K$11)</f>
        <v>0</v>
      </c>
      <c r="L28" s="53" t="s">
        <v>1289</v>
      </c>
      <c r="M28" s="51">
        <f>COUNTIFS('Self-Assessment Questionnaire'!$I$16:$I$268,$C$27, 'Self-Assessment Questionnaire'!$H$16:$H$268,$D28)</f>
        <v>9</v>
      </c>
      <c r="O28" s="435" t="str">
        <f>FX!$C$77</f>
        <v>Intermediate</v>
      </c>
      <c r="P28" s="436"/>
      <c r="Q28" s="63">
        <f>IF(G28=0,FX!$C$103,((E28+K28)/G28))</f>
        <v>1</v>
      </c>
      <c r="R28" s="54">
        <f>IF(G28=0,0,Q28)</f>
        <v>1</v>
      </c>
      <c r="S28" s="63">
        <f>IF(G28=0,0,IF(Q28&gt;0,100%-Q28,0))</f>
        <v>0</v>
      </c>
      <c r="U28" s="21" t="s">
        <v>1290</v>
      </c>
      <c r="V28" s="55" t="str">
        <f>CONCATENATE(FX!E28,FX!U28,FX!G28)</f>
        <v>9 / 9</v>
      </c>
      <c r="W28" s="56" t="str">
        <f>CONCATENATE(FX!H28,FX!U28,FX!J28)</f>
        <v>0 / 9</v>
      </c>
      <c r="X28" s="56" t="str">
        <f>CONCATENATE(FX!K28,FX!U28,FX!M28)</f>
        <v>0 / 9</v>
      </c>
    </row>
    <row r="29" spans="3:24">
      <c r="C29" s="433"/>
      <c r="D29" s="51" t="str">
        <f>FX!$C$78</f>
        <v>Advanced</v>
      </c>
      <c r="E29" s="52">
        <f>COUNTIFS('Self-Assessment Questionnaire'!$I$16:$I$268,$C$27, 'Self-Assessment Questionnaire'!$H$16:$H$268,$D29,'Self-Assessment Questionnaire'!$G$16:$G$268,E$11)</f>
        <v>2</v>
      </c>
      <c r="F29" s="53" t="s">
        <v>1289</v>
      </c>
      <c r="G29" s="51">
        <f>M29</f>
        <v>2</v>
      </c>
      <c r="H29" s="52">
        <f>COUNTIFS('Self-Assessment Questionnaire'!$I$16:$I$268,$C$27, 'Self-Assessment Questionnaire'!$H$16:$H$268,$D29,'Self-Assessment Questionnaire'!$G$16:$G$268,H$11)</f>
        <v>0</v>
      </c>
      <c r="I29" s="53" t="s">
        <v>1289</v>
      </c>
      <c r="J29" s="51">
        <f>M29</f>
        <v>2</v>
      </c>
      <c r="K29" s="52">
        <f>COUNTIFS('Self-Assessment Questionnaire'!$I$16:$I$268,$C$27, 'Self-Assessment Questionnaire'!$H$16:$H$268,$D29,'Self-Assessment Questionnaire'!$G$16:$G$268,K$11)</f>
        <v>0</v>
      </c>
      <c r="L29" s="53" t="s">
        <v>1289</v>
      </c>
      <c r="M29" s="51">
        <f>COUNTIFS('Self-Assessment Questionnaire'!$I$16:$I$268,$C$27, 'Self-Assessment Questionnaire'!$H$16:$H$268,$D29)</f>
        <v>2</v>
      </c>
      <c r="O29" s="61" t="str">
        <f>FX!$C$78</f>
        <v>Advanced</v>
      </c>
      <c r="P29" s="62"/>
      <c r="Q29" s="63">
        <f>IF(G29=0,FX!$C$103,((E29+K29)/G29))</f>
        <v>1</v>
      </c>
      <c r="R29" s="54">
        <f>IF(G29=0,0,Q29)</f>
        <v>1</v>
      </c>
      <c r="S29" s="63">
        <f>IF(G29=0,0,IF(Q29&gt;0,100%-Q29,0))</f>
        <v>0</v>
      </c>
      <c r="U29" s="21" t="s">
        <v>1290</v>
      </c>
      <c r="V29" s="55" t="str">
        <f>CONCATENATE(FX!E29,FX!U29,FX!G29)</f>
        <v>2 / 2</v>
      </c>
      <c r="W29" s="56" t="str">
        <f>CONCATENATE(FX!H29,FX!U29,FX!J29)</f>
        <v>0 / 2</v>
      </c>
      <c r="X29" s="56" t="str">
        <f>CONCATENATE(FX!K29,FX!U29,FX!M29)</f>
        <v>0 / 2</v>
      </c>
    </row>
    <row r="30" spans="3:24" ht="15" thickBot="1">
      <c r="C30" s="434"/>
      <c r="D30" s="51" t="str">
        <f>FX!$C$79</f>
        <v>Not Applicable</v>
      </c>
      <c r="E30" s="52">
        <f>COUNTIFS('Self-Assessment Questionnaire'!$I$16:$I$268,$C$27, 'Self-Assessment Questionnaire'!$H$16:$H$268,$D30)</f>
        <v>0</v>
      </c>
      <c r="F30" s="51" t="s">
        <v>1291</v>
      </c>
      <c r="G30" s="52"/>
      <c r="H30" s="52"/>
      <c r="I30" s="52"/>
      <c r="J30" s="52"/>
      <c r="K30" s="52"/>
      <c r="L30" s="52"/>
      <c r="M30" s="52"/>
      <c r="O30" s="435" t="str">
        <f>FX!$C$79</f>
        <v>Not Applicable</v>
      </c>
      <c r="P30" s="436"/>
      <c r="Q30" s="63" t="str">
        <f>IF(SUM(K27:K29)=0,C101,(SUM(K27:K29)/(SUM(M27:M29))))</f>
        <v>All</v>
      </c>
      <c r="R30" s="54">
        <f>IF(G30=0,0,Q30)</f>
        <v>0</v>
      </c>
      <c r="S30" s="63">
        <f>IF(G30=0,0,IF(Q30&gt;0,100%-Q30,0))</f>
        <v>0</v>
      </c>
      <c r="V30" s="55" t="str">
        <f>CONCATENATE(FX!E30,FX!U30,FX!G30)</f>
        <v>0</v>
      </c>
      <c r="W30" s="56" t="str">
        <f>CONCATENATE(FX!H30,FX!U30,FX!J30)</f>
        <v/>
      </c>
      <c r="X30" s="56" t="str">
        <f>CONCATENATE(FX!K30,FX!U30,FX!M30)</f>
        <v/>
      </c>
    </row>
    <row r="31" spans="3:24" ht="18.5" thickBot="1">
      <c r="C31" s="57"/>
      <c r="D31" s="58"/>
      <c r="E31" s="58"/>
      <c r="F31" s="58"/>
      <c r="G31" s="58"/>
      <c r="H31" s="58"/>
      <c r="I31" s="58"/>
      <c r="J31" s="58"/>
      <c r="K31" s="58"/>
      <c r="L31" s="58"/>
      <c r="M31" s="58"/>
      <c r="O31" s="58"/>
      <c r="P31" s="58"/>
      <c r="Q31" s="58"/>
      <c r="R31" s="58"/>
      <c r="S31" s="58"/>
      <c r="V31" s="59" t="str">
        <f>CONCATENATE(FX!E31,FX!U31,FX!G31)</f>
        <v/>
      </c>
      <c r="W31" s="59" t="str">
        <f>CONCATENATE(FX!H31,FX!U31,FX!J31)</f>
        <v/>
      </c>
      <c r="X31" s="59" t="str">
        <f>CONCATENATE(FX!K31,FX!U31,FX!M31)</f>
        <v/>
      </c>
    </row>
    <row r="32" spans="3:24">
      <c r="C32" s="432" t="str">
        <f>FX!C86</f>
        <v>Chemical Control</v>
      </c>
      <c r="D32" s="51" t="str">
        <f>FX!$C$76</f>
        <v>Essential</v>
      </c>
      <c r="E32" s="52">
        <f>COUNTIFS('Self-Assessment Questionnaire'!$I$16:$I$268,$C$32, 'Self-Assessment Questionnaire'!$H$16:$H$268,$D32,'Self-Assessment Questionnaire'!$G$16:$G$268,E$11)</f>
        <v>9</v>
      </c>
      <c r="F32" s="53" t="s">
        <v>1289</v>
      </c>
      <c r="G32" s="51">
        <f>M32</f>
        <v>9</v>
      </c>
      <c r="H32" s="52">
        <f>COUNTIFS('Self-Assessment Questionnaire'!$I$16:$I$268,$C$32, 'Self-Assessment Questionnaire'!$H$16:$H$268,$D32,'Self-Assessment Questionnaire'!$G$16:$G$268,H$11)</f>
        <v>0</v>
      </c>
      <c r="I32" s="53" t="s">
        <v>1289</v>
      </c>
      <c r="J32" s="51">
        <f>M32</f>
        <v>9</v>
      </c>
      <c r="K32" s="52">
        <f>COUNTIFS('Self-Assessment Questionnaire'!$I$16:$I$268,$C$32, 'Self-Assessment Questionnaire'!$H$16:$H$268,$D32,'Self-Assessment Questionnaire'!$G$16:$G$268,K$11)</f>
        <v>0</v>
      </c>
      <c r="L32" s="53" t="s">
        <v>1289</v>
      </c>
      <c r="M32" s="51">
        <f>COUNTIFS('Self-Assessment Questionnaire'!$I$16:$I$268,$C$32, 'Self-Assessment Questionnaire'!$H$16:$H$268,$D32)</f>
        <v>9</v>
      </c>
      <c r="O32" s="435" t="str">
        <f>FX!$C$76</f>
        <v>Essential</v>
      </c>
      <c r="P32" s="436"/>
      <c r="Q32" s="63">
        <f>IF(G32=0,FX!$C$103,((E32+K32)/G32))</f>
        <v>1</v>
      </c>
      <c r="R32" s="54">
        <f>IF(G32=0,0,Q32)</f>
        <v>1</v>
      </c>
      <c r="S32" s="63">
        <f>IF(G32=0,0,IF(Q32&gt;0,100%-Q32,0))</f>
        <v>0</v>
      </c>
      <c r="U32" s="21" t="s">
        <v>1290</v>
      </c>
      <c r="V32" s="55" t="str">
        <f>CONCATENATE(FX!E32,FX!U32,FX!G32)</f>
        <v>9 / 9</v>
      </c>
      <c r="W32" s="56" t="str">
        <f>CONCATENATE(FX!H32,FX!U32,FX!J32)</f>
        <v>0 / 9</v>
      </c>
      <c r="X32" s="56" t="str">
        <f>CONCATENATE(FX!K32,FX!U32,FX!M32)</f>
        <v>0 / 9</v>
      </c>
    </row>
    <row r="33" spans="3:24">
      <c r="C33" s="433"/>
      <c r="D33" s="51" t="str">
        <f>FX!$C$77</f>
        <v>Intermediate</v>
      </c>
      <c r="E33" s="52">
        <f>COUNTIFS('Self-Assessment Questionnaire'!$I$16:$I$268,$C$32, 'Self-Assessment Questionnaire'!$H$16:$H$268,$D33,'Self-Assessment Questionnaire'!$G$16:$G$268,E$11)</f>
        <v>7</v>
      </c>
      <c r="F33" s="53" t="s">
        <v>1289</v>
      </c>
      <c r="G33" s="51">
        <f>M33</f>
        <v>7</v>
      </c>
      <c r="H33" s="52">
        <f>COUNTIFS('Self-Assessment Questionnaire'!$I$16:$I$268,$C$32, 'Self-Assessment Questionnaire'!$H$16:$H$268,$D33,'Self-Assessment Questionnaire'!$G$16:$G$268,H$11)</f>
        <v>0</v>
      </c>
      <c r="I33" s="53" t="s">
        <v>1289</v>
      </c>
      <c r="J33" s="51">
        <f>M33</f>
        <v>7</v>
      </c>
      <c r="K33" s="52">
        <f>COUNTIFS('Self-Assessment Questionnaire'!$I$16:$I$268,$C$32, 'Self-Assessment Questionnaire'!$H$16:$H$268,$D33,'Self-Assessment Questionnaire'!$G$16:$G$268,K$11)</f>
        <v>0</v>
      </c>
      <c r="L33" s="53" t="s">
        <v>1289</v>
      </c>
      <c r="M33" s="51">
        <f>COUNTIFS('Self-Assessment Questionnaire'!$I$16:$I$268,$C$32, 'Self-Assessment Questionnaire'!$H$16:$H$268,$D33)</f>
        <v>7</v>
      </c>
      <c r="O33" s="435" t="str">
        <f>FX!$C$77</f>
        <v>Intermediate</v>
      </c>
      <c r="P33" s="436"/>
      <c r="Q33" s="63">
        <f>IF(G33=0,FX!$C$103,((E33+K33)/G33))</f>
        <v>1</v>
      </c>
      <c r="R33" s="54">
        <f>IF(G33=0,0,Q33)</f>
        <v>1</v>
      </c>
      <c r="S33" s="63">
        <f>IF(G33=0,0,IF(Q33&gt;0,100%-Q33,0))</f>
        <v>0</v>
      </c>
      <c r="U33" s="21" t="s">
        <v>1290</v>
      </c>
      <c r="V33" s="55" t="str">
        <f>CONCATENATE(FX!E33,FX!U33,FX!G33)</f>
        <v>7 / 7</v>
      </c>
      <c r="W33" s="56" t="str">
        <f>CONCATENATE(FX!H33,FX!U33,FX!J33)</f>
        <v>0 / 7</v>
      </c>
      <c r="X33" s="56" t="str">
        <f>CONCATENATE(FX!K33,FX!U33,FX!M33)</f>
        <v>0 / 7</v>
      </c>
    </row>
    <row r="34" spans="3:24">
      <c r="C34" s="433"/>
      <c r="D34" s="51" t="str">
        <f>FX!$C$78</f>
        <v>Advanced</v>
      </c>
      <c r="E34" s="52">
        <f>COUNTIFS('Self-Assessment Questionnaire'!$I$16:$I$268,$C$32, 'Self-Assessment Questionnaire'!$H$16:$H$268,$D34,'Self-Assessment Questionnaire'!$G$16:$G$268,E$11)</f>
        <v>0</v>
      </c>
      <c r="F34" s="53" t="s">
        <v>1289</v>
      </c>
      <c r="G34" s="51">
        <f>M34</f>
        <v>0</v>
      </c>
      <c r="H34" s="52">
        <f>COUNTIFS('Self-Assessment Questionnaire'!$I$16:$I$268,$C$32, 'Self-Assessment Questionnaire'!$H$16:$H$268,$D34,'Self-Assessment Questionnaire'!$G$16:$G$268,H$11)</f>
        <v>0</v>
      </c>
      <c r="I34" s="53" t="s">
        <v>1289</v>
      </c>
      <c r="J34" s="51">
        <f>M34</f>
        <v>0</v>
      </c>
      <c r="K34" s="52">
        <f>COUNTIFS('Self-Assessment Questionnaire'!$I$16:$I$268,$C$32, 'Self-Assessment Questionnaire'!$H$16:$H$268,$D34,'Self-Assessment Questionnaire'!$G$16:$G$268,K$11)</f>
        <v>0</v>
      </c>
      <c r="L34" s="53" t="s">
        <v>1289</v>
      </c>
      <c r="M34" s="51">
        <f>COUNTIFS('Self-Assessment Questionnaire'!$I$16:$I$268,$C$32, 'Self-Assessment Questionnaire'!$H$16:$H$268,$D34)</f>
        <v>0</v>
      </c>
      <c r="O34" s="435" t="str">
        <f>FX!$C$78</f>
        <v>Advanced</v>
      </c>
      <c r="P34" s="436"/>
      <c r="Q34" s="63" t="str">
        <f>IF(G34=0,FX!$C$103,((E34+K34)/G34))</f>
        <v>-</v>
      </c>
      <c r="R34" s="54">
        <f>IF(G34=0,0,Q34)</f>
        <v>0</v>
      </c>
      <c r="S34" s="63">
        <f>IF(G34=0,0,IF(Q34&gt;0,100%-Q34,0))</f>
        <v>0</v>
      </c>
      <c r="U34" s="21" t="s">
        <v>1290</v>
      </c>
      <c r="V34" s="55" t="str">
        <f>CONCATENATE(FX!E34,FX!U34,FX!G34)</f>
        <v>0 / 0</v>
      </c>
      <c r="W34" s="56" t="str">
        <f>CONCATENATE(FX!H34,FX!U34,FX!J34)</f>
        <v>0 / 0</v>
      </c>
      <c r="X34" s="56" t="str">
        <f>CONCATENATE(FX!K34,FX!U34,FX!M34)</f>
        <v>0 / 0</v>
      </c>
    </row>
    <row r="35" spans="3:24" ht="15" thickBot="1">
      <c r="C35" s="434"/>
      <c r="D35" s="51" t="str">
        <f>FX!$C$79</f>
        <v>Not Applicable</v>
      </c>
      <c r="E35" s="52">
        <f>COUNTIFS('Self-Assessment Questionnaire'!$I$16:$I$268,$C$32, 'Self-Assessment Questionnaire'!$H$16:$H$268,$D35)</f>
        <v>0</v>
      </c>
      <c r="F35" s="51" t="s">
        <v>1291</v>
      </c>
      <c r="G35" s="52"/>
      <c r="H35" s="52"/>
      <c r="I35" s="52"/>
      <c r="J35" s="52"/>
      <c r="K35" s="52"/>
      <c r="L35" s="52"/>
      <c r="M35" s="52"/>
      <c r="O35" s="435" t="str">
        <f>FX!$C$79</f>
        <v>Not Applicable</v>
      </c>
      <c r="P35" s="436"/>
      <c r="Q35" s="63" t="str">
        <f>IF(SUM(K32:K34)=0,C101,(SUM(K32:K34)/(SUM(M32:M34))))</f>
        <v>All</v>
      </c>
      <c r="R35" s="54">
        <f>IF(G35=0,0,Q35)</f>
        <v>0</v>
      </c>
      <c r="S35" s="63">
        <f>IF(G35=0,0,IF(Q35&gt;0,100%-Q35,0))</f>
        <v>0</v>
      </c>
      <c r="V35" s="55" t="str">
        <f>CONCATENATE(FX!E35,FX!U35,FX!G35)</f>
        <v>0</v>
      </c>
      <c r="W35" s="56" t="str">
        <f>CONCATENATE(FX!H35,FX!U35,FX!J35)</f>
        <v/>
      </c>
      <c r="X35" s="56" t="str">
        <f>CONCATENATE(FX!K35,FX!U35,FX!M35)</f>
        <v/>
      </c>
    </row>
    <row r="36" spans="3:24" ht="18.5" thickBot="1">
      <c r="C36" s="57"/>
      <c r="D36" s="58"/>
      <c r="E36" s="58"/>
      <c r="F36" s="58"/>
      <c r="G36" s="58"/>
      <c r="H36" s="58"/>
      <c r="I36" s="58"/>
      <c r="J36" s="58"/>
      <c r="K36" s="58"/>
      <c r="L36" s="58"/>
      <c r="M36" s="58"/>
      <c r="O36" s="58"/>
      <c r="P36" s="58"/>
      <c r="Q36" s="58"/>
      <c r="R36" s="58"/>
      <c r="S36" s="58"/>
      <c r="V36" s="59" t="str">
        <f>CONCATENATE(FX!E36,FX!U36,FX!G36)</f>
        <v/>
      </c>
      <c r="W36" s="59" t="str">
        <f>CONCATENATE(FX!H36,FX!U36,FX!J36)</f>
        <v/>
      </c>
      <c r="X36" s="59" t="str">
        <f>CONCATENATE(FX!K36,FX!U36,FX!M36)</f>
        <v/>
      </c>
    </row>
    <row r="37" spans="3:24">
      <c r="C37" s="432" t="str">
        <f>FX!C87</f>
        <v>Integrated Pest Management</v>
      </c>
      <c r="D37" s="51" t="str">
        <f>FX!$C$76</f>
        <v>Essential</v>
      </c>
      <c r="E37" s="52">
        <f>COUNTIFS('Self-Assessment Questionnaire'!$I$16:$I$268,$C$37, 'Self-Assessment Questionnaire'!$H$16:$H$268,$D37,'Self-Assessment Questionnaire'!$G$16:$G$268,E$11)</f>
        <v>0</v>
      </c>
      <c r="F37" s="53" t="s">
        <v>1289</v>
      </c>
      <c r="G37" s="51">
        <f>M37</f>
        <v>0</v>
      </c>
      <c r="H37" s="52">
        <f>COUNTIFS('Self-Assessment Questionnaire'!$I$16:$I$268,$C$37, 'Self-Assessment Questionnaire'!$H$16:$H$268,$D37,'Self-Assessment Questionnaire'!$G$16:$G$268,H$11)</f>
        <v>0</v>
      </c>
      <c r="I37" s="53" t="s">
        <v>1289</v>
      </c>
      <c r="J37" s="51">
        <f>M37</f>
        <v>0</v>
      </c>
      <c r="K37" s="52">
        <f>COUNTIFS('Self-Assessment Questionnaire'!$I$16:$I$268,$C$37, 'Self-Assessment Questionnaire'!$H$16:$H$268,$D37,'Self-Assessment Questionnaire'!$G$16:$G$268,K$11)</f>
        <v>0</v>
      </c>
      <c r="L37" s="53" t="s">
        <v>1289</v>
      </c>
      <c r="M37" s="51">
        <f>COUNTIFS('Self-Assessment Questionnaire'!$I$16:$I$268,$C$37, 'Self-Assessment Questionnaire'!$H$16:$H$268,$D37)</f>
        <v>0</v>
      </c>
      <c r="O37" s="435" t="str">
        <f>FX!$C$76</f>
        <v>Essential</v>
      </c>
      <c r="P37" s="436"/>
      <c r="Q37" s="63" t="str">
        <f>IF(G37=0,FX!$C$103,((E37+K37)/G37))</f>
        <v>-</v>
      </c>
      <c r="R37" s="54">
        <f>IF(G37=0,0,Q37)</f>
        <v>0</v>
      </c>
      <c r="S37" s="63">
        <f>IF(G37=0,0,IF(Q37&gt;0,100%-Q37,0))</f>
        <v>0</v>
      </c>
      <c r="U37" s="21" t="s">
        <v>1290</v>
      </c>
      <c r="V37" s="55" t="str">
        <f>CONCATENATE(FX!E37,FX!U37,FX!G37)</f>
        <v>0 / 0</v>
      </c>
      <c r="W37" s="56" t="str">
        <f>CONCATENATE(FX!H37,FX!U37,FX!J37)</f>
        <v>0 / 0</v>
      </c>
      <c r="X37" s="56" t="str">
        <f>CONCATENATE(FX!K37,FX!U37,FX!M37)</f>
        <v>0 / 0</v>
      </c>
    </row>
    <row r="38" spans="3:24">
      <c r="C38" s="433"/>
      <c r="D38" s="51" t="str">
        <f>FX!$C$77</f>
        <v>Intermediate</v>
      </c>
      <c r="E38" s="52">
        <f>COUNTIFS('Self-Assessment Questionnaire'!$I$16:$I$268,$C$37, 'Self-Assessment Questionnaire'!$H$16:$H$268,$D38,'Self-Assessment Questionnaire'!$G$16:$G$268,E$11)</f>
        <v>5</v>
      </c>
      <c r="F38" s="53" t="s">
        <v>1289</v>
      </c>
      <c r="G38" s="51">
        <f>M38</f>
        <v>5</v>
      </c>
      <c r="H38" s="52">
        <f>COUNTIFS('Self-Assessment Questionnaire'!$I$16:$I$268,$C$37, 'Self-Assessment Questionnaire'!$H$16:$H$268,$D38,'Self-Assessment Questionnaire'!$G$16:$G$268,H$11)</f>
        <v>0</v>
      </c>
      <c r="I38" s="53" t="s">
        <v>1289</v>
      </c>
      <c r="J38" s="51">
        <f>M38</f>
        <v>5</v>
      </c>
      <c r="K38" s="52">
        <f>COUNTIFS('Self-Assessment Questionnaire'!$I$16:$I$268,$C$37, 'Self-Assessment Questionnaire'!$H$16:$H$268,$D38,'Self-Assessment Questionnaire'!$G$16:$G$268,K$11)</f>
        <v>0</v>
      </c>
      <c r="L38" s="53" t="s">
        <v>1289</v>
      </c>
      <c r="M38" s="51">
        <f>COUNTIFS('Self-Assessment Questionnaire'!$I$16:$I$268,$C$37, 'Self-Assessment Questionnaire'!$H$16:$H$268,$D38)</f>
        <v>5</v>
      </c>
      <c r="O38" s="435" t="str">
        <f>FX!$C$77</f>
        <v>Intermediate</v>
      </c>
      <c r="P38" s="436"/>
      <c r="Q38" s="63">
        <f>IF(G38=0,FX!$C$103,((E38+K38)/G38))</f>
        <v>1</v>
      </c>
      <c r="R38" s="54">
        <f>IF(G38=0,0,Q38)</f>
        <v>1</v>
      </c>
      <c r="S38" s="63">
        <f>IF(G38=0,0,IF(Q38&gt;0,100%-Q38,0))</f>
        <v>0</v>
      </c>
      <c r="U38" s="21" t="s">
        <v>1290</v>
      </c>
      <c r="V38" s="55" t="str">
        <f>CONCATENATE(FX!E38,FX!U38,FX!G38)</f>
        <v>5 / 5</v>
      </c>
      <c r="W38" s="56" t="str">
        <f>CONCATENATE(FX!H38,FX!U38,FX!J38)</f>
        <v>0 / 5</v>
      </c>
      <c r="X38" s="56" t="str">
        <f>CONCATENATE(FX!K38,FX!U38,FX!M38)</f>
        <v>0 / 5</v>
      </c>
    </row>
    <row r="39" spans="3:24">
      <c r="C39" s="433"/>
      <c r="D39" s="51" t="str">
        <f>FX!$C$78</f>
        <v>Advanced</v>
      </c>
      <c r="E39" s="52">
        <f>COUNTIFS('Self-Assessment Questionnaire'!$I$16:$I$268,$C$37, 'Self-Assessment Questionnaire'!$H$16:$H$268,$D39,'Self-Assessment Questionnaire'!$G$16:$G$268,E$11)</f>
        <v>0</v>
      </c>
      <c r="F39" s="53" t="s">
        <v>1289</v>
      </c>
      <c r="G39" s="51">
        <f>M39</f>
        <v>0</v>
      </c>
      <c r="H39" s="52">
        <f>COUNTIFS('Self-Assessment Questionnaire'!$I$16:$I$268,$C$37, 'Self-Assessment Questionnaire'!$H$16:$H$268,$D39,'Self-Assessment Questionnaire'!$G$16:$G$268,H$11)</f>
        <v>0</v>
      </c>
      <c r="I39" s="53" t="s">
        <v>1289</v>
      </c>
      <c r="J39" s="51">
        <f>M39</f>
        <v>0</v>
      </c>
      <c r="K39" s="52">
        <f>COUNTIFS('Self-Assessment Questionnaire'!$I$16:$I$268,$C$37, 'Self-Assessment Questionnaire'!$H$16:$H$268,$D39,'Self-Assessment Questionnaire'!$G$16:$G$268,K$11)</f>
        <v>0</v>
      </c>
      <c r="L39" s="53" t="s">
        <v>1289</v>
      </c>
      <c r="M39" s="51">
        <f>COUNTIFS('Self-Assessment Questionnaire'!$I$16:$I$268,$C$37, 'Self-Assessment Questionnaire'!$H$16:$H$268,$D39)</f>
        <v>0</v>
      </c>
      <c r="O39" s="435" t="str">
        <f>FX!$C$78</f>
        <v>Advanced</v>
      </c>
      <c r="P39" s="436"/>
      <c r="Q39" s="63" t="str">
        <f>IF(G39=0,FX!$C$103,((E39+K39)/G39))</f>
        <v>-</v>
      </c>
      <c r="R39" s="54">
        <f>IF(G39=0,0,Q39)</f>
        <v>0</v>
      </c>
      <c r="S39" s="63">
        <f>IF(G39=0,0,IF(Q39&gt;0,100%-Q39,0))</f>
        <v>0</v>
      </c>
      <c r="U39" s="21" t="s">
        <v>1290</v>
      </c>
      <c r="V39" s="55" t="str">
        <f>CONCATENATE(FX!E39,FX!U39,FX!G39)</f>
        <v>0 / 0</v>
      </c>
      <c r="W39" s="56" t="str">
        <f>CONCATENATE(FX!H39,FX!U39,FX!J39)</f>
        <v>0 / 0</v>
      </c>
      <c r="X39" s="56" t="str">
        <f>CONCATENATE(FX!K39,FX!U39,FX!M39)</f>
        <v>0 / 0</v>
      </c>
    </row>
    <row r="40" spans="3:24" ht="15" thickBot="1">
      <c r="C40" s="434"/>
      <c r="D40" s="51" t="str">
        <f>FX!$C$79</f>
        <v>Not Applicable</v>
      </c>
      <c r="E40" s="52">
        <f>COUNTIFS('Self-Assessment Questionnaire'!$I$16:$I$268,$C$37, 'Self-Assessment Questionnaire'!$H$16:$H$268,$D40)</f>
        <v>0</v>
      </c>
      <c r="F40" s="51" t="s">
        <v>1291</v>
      </c>
      <c r="G40" s="52"/>
      <c r="H40" s="52"/>
      <c r="I40" s="52"/>
      <c r="J40" s="52"/>
      <c r="K40" s="52"/>
      <c r="L40" s="52"/>
      <c r="M40" s="52"/>
      <c r="O40" s="435" t="str">
        <f>FX!$C$79</f>
        <v>Not Applicable</v>
      </c>
      <c r="P40" s="436"/>
      <c r="Q40" s="63" t="str">
        <f>IF(SUM(K37:K39)=0,C101,(SUM(K37:K39)/(SUM(M37:M39))))</f>
        <v>All</v>
      </c>
      <c r="R40" s="54">
        <f>IF(G40=0,0,Q40)</f>
        <v>0</v>
      </c>
      <c r="S40" s="63">
        <f>IF(G40=0,0,IF(Q40&gt;0,100%-Q40,0))</f>
        <v>0</v>
      </c>
      <c r="V40" s="55" t="str">
        <f>CONCATENATE(FX!E40,FX!U40,FX!G40)</f>
        <v>0</v>
      </c>
      <c r="W40" s="56" t="str">
        <f>CONCATENATE(FX!H40,FX!U40,FX!J40)</f>
        <v/>
      </c>
      <c r="X40" s="56" t="str">
        <f>CONCATENATE(FX!K40,FX!U40,FX!M40)</f>
        <v/>
      </c>
    </row>
    <row r="41" spans="3:24" ht="18.5" thickBot="1">
      <c r="C41" s="57"/>
      <c r="D41" s="58"/>
      <c r="E41" s="58"/>
      <c r="F41" s="58"/>
      <c r="G41" s="58"/>
      <c r="H41" s="58"/>
      <c r="I41" s="58"/>
      <c r="J41" s="58"/>
      <c r="K41" s="58"/>
      <c r="L41" s="58"/>
      <c r="M41" s="58"/>
      <c r="O41" s="58"/>
      <c r="P41" s="58"/>
      <c r="Q41" s="58"/>
      <c r="R41" s="58"/>
      <c r="S41" s="58"/>
      <c r="V41" s="59" t="str">
        <f>CONCATENATE(FX!E41,FX!U41,FX!G41)</f>
        <v/>
      </c>
      <c r="W41" s="59" t="str">
        <f>CONCATENATE(FX!H41,FX!U41,FX!J41)</f>
        <v/>
      </c>
      <c r="X41" s="59" t="str">
        <f>CONCATENATE(FX!K41,FX!U41,FX!M41)</f>
        <v/>
      </c>
    </row>
    <row r="42" spans="3:24">
      <c r="C42" s="432" t="str">
        <f>FX!C88</f>
        <v>Waste Management</v>
      </c>
      <c r="D42" s="51" t="str">
        <f>FX!$C$76</f>
        <v>Essential</v>
      </c>
      <c r="E42" s="52">
        <f>COUNTIFS('Self-Assessment Questionnaire'!$I$16:$I$268,$C$42, 'Self-Assessment Questionnaire'!$H$16:$H$268,$D42,'Self-Assessment Questionnaire'!$G$16:$G$268,E$11)</f>
        <v>0</v>
      </c>
      <c r="F42" s="53" t="s">
        <v>1289</v>
      </c>
      <c r="G42" s="51">
        <f>M42</f>
        <v>0</v>
      </c>
      <c r="H42" s="52">
        <f>COUNTIFS('Self-Assessment Questionnaire'!$I$16:$I$268,$C$42, 'Self-Assessment Questionnaire'!$H$16:$H$268,$D42,'Self-Assessment Questionnaire'!$G$16:$G$268,H$11)</f>
        <v>0</v>
      </c>
      <c r="I42" s="53" t="s">
        <v>1289</v>
      </c>
      <c r="J42" s="51">
        <f>M42</f>
        <v>0</v>
      </c>
      <c r="K42" s="52">
        <f>COUNTIFS('Self-Assessment Questionnaire'!$I$16:$I$268,$C$42, 'Self-Assessment Questionnaire'!$H$16:$H$268,$D42,'Self-Assessment Questionnaire'!$G$16:$G$268,K$11)</f>
        <v>0</v>
      </c>
      <c r="L42" s="53" t="s">
        <v>1289</v>
      </c>
      <c r="M42" s="51">
        <f>COUNTIFS('Self-Assessment Questionnaire'!$I$16:$I$268,$C$42, 'Self-Assessment Questionnaire'!$H$16:$H$268,$D42)</f>
        <v>0</v>
      </c>
      <c r="O42" s="435" t="str">
        <f>FX!$C$76</f>
        <v>Essential</v>
      </c>
      <c r="P42" s="436"/>
      <c r="Q42" s="63" t="str">
        <f>IF(G42=0,FX!$C$103,((E42+K42)/G42))</f>
        <v>-</v>
      </c>
      <c r="R42" s="54">
        <f>IF(G42=0,0,Q42)</f>
        <v>0</v>
      </c>
      <c r="S42" s="63">
        <f>IF(G42=0,0,IF(Q42&gt;0,100%-Q42,0))</f>
        <v>0</v>
      </c>
      <c r="U42" s="21" t="s">
        <v>1290</v>
      </c>
      <c r="V42" s="55" t="str">
        <f>CONCATENATE(FX!E42,FX!U42,FX!G42)</f>
        <v>0 / 0</v>
      </c>
      <c r="W42" s="56" t="str">
        <f>CONCATENATE(FX!H42,FX!U42,FX!J42)</f>
        <v>0 / 0</v>
      </c>
      <c r="X42" s="56" t="str">
        <f>CONCATENATE(FX!K42,FX!U42,FX!M42)</f>
        <v>0 / 0</v>
      </c>
    </row>
    <row r="43" spans="3:24">
      <c r="C43" s="433"/>
      <c r="D43" s="51" t="str">
        <f>FX!$C$77</f>
        <v>Intermediate</v>
      </c>
      <c r="E43" s="52">
        <f>COUNTIFS('Self-Assessment Questionnaire'!$I$16:$I$268,$C$42, 'Self-Assessment Questionnaire'!$H$16:$H$268,$D43,'Self-Assessment Questionnaire'!$G$16:$G$268,E$11)</f>
        <v>3</v>
      </c>
      <c r="F43" s="53" t="s">
        <v>1289</v>
      </c>
      <c r="G43" s="51">
        <f>M43</f>
        <v>3</v>
      </c>
      <c r="H43" s="52">
        <f>COUNTIFS('Self-Assessment Questionnaire'!$I$16:$I$268,$C$42, 'Self-Assessment Questionnaire'!$H$16:$H$268,$D43,'Self-Assessment Questionnaire'!$G$16:$G$268,H$11)</f>
        <v>0</v>
      </c>
      <c r="I43" s="53" t="s">
        <v>1289</v>
      </c>
      <c r="J43" s="51">
        <f>M43</f>
        <v>3</v>
      </c>
      <c r="K43" s="52">
        <f>COUNTIFS('Self-Assessment Questionnaire'!$I$16:$I$268,$C$42, 'Self-Assessment Questionnaire'!$H$16:$H$268,$D43,'Self-Assessment Questionnaire'!$G$16:$G$268,K$11)</f>
        <v>0</v>
      </c>
      <c r="L43" s="53" t="s">
        <v>1289</v>
      </c>
      <c r="M43" s="51">
        <f>COUNTIFS('Self-Assessment Questionnaire'!$I$16:$I$268,$C$42, 'Self-Assessment Questionnaire'!$H$16:$H$268,$D43)</f>
        <v>3</v>
      </c>
      <c r="O43" s="435" t="str">
        <f>FX!$C$77</f>
        <v>Intermediate</v>
      </c>
      <c r="P43" s="436"/>
      <c r="Q43" s="63">
        <f>IF(G43=0,FX!$C$103,((E43+K43)/G43))</f>
        <v>1</v>
      </c>
      <c r="R43" s="54">
        <f>IF(G43=0,0,Q43)</f>
        <v>1</v>
      </c>
      <c r="S43" s="63">
        <f>IF(G43=0,0,IF(Q43&gt;0,100%-Q43,0))</f>
        <v>0</v>
      </c>
      <c r="U43" s="21" t="s">
        <v>1290</v>
      </c>
      <c r="V43" s="55" t="str">
        <f>CONCATENATE(FX!E43,FX!U43,FX!G43)</f>
        <v>3 / 3</v>
      </c>
      <c r="W43" s="56" t="str">
        <f>CONCATENATE(FX!H43,FX!U43,FX!J43)</f>
        <v>0 / 3</v>
      </c>
      <c r="X43" s="56" t="str">
        <f>CONCATENATE(FX!K43,FX!U43,FX!M43)</f>
        <v>0 / 3</v>
      </c>
    </row>
    <row r="44" spans="3:24">
      <c r="C44" s="433"/>
      <c r="D44" s="51" t="str">
        <f>FX!$C$78</f>
        <v>Advanced</v>
      </c>
      <c r="E44" s="52">
        <f>COUNTIFS('Self-Assessment Questionnaire'!$I$16:$I$268,$C$42, 'Self-Assessment Questionnaire'!$H$16:$H$268,$D44,'Self-Assessment Questionnaire'!$G$16:$G$268,E$11)</f>
        <v>0</v>
      </c>
      <c r="F44" s="53" t="s">
        <v>1289</v>
      </c>
      <c r="G44" s="51">
        <f>M44</f>
        <v>0</v>
      </c>
      <c r="H44" s="52">
        <f>COUNTIFS('Self-Assessment Questionnaire'!$I$16:$I$268,$C$42, 'Self-Assessment Questionnaire'!$H$16:$H$268,$D44,'Self-Assessment Questionnaire'!$G$16:$G$268,H$11)</f>
        <v>0</v>
      </c>
      <c r="I44" s="53" t="s">
        <v>1289</v>
      </c>
      <c r="J44" s="51">
        <f>M44</f>
        <v>0</v>
      </c>
      <c r="K44" s="52">
        <f>COUNTIFS('Self-Assessment Questionnaire'!$I$16:$I$268,$C$42, 'Self-Assessment Questionnaire'!$H$16:$H$268,$D44,'Self-Assessment Questionnaire'!$G$16:$G$268,K$11)</f>
        <v>0</v>
      </c>
      <c r="L44" s="53" t="s">
        <v>1289</v>
      </c>
      <c r="M44" s="51">
        <f>COUNTIFS('Self-Assessment Questionnaire'!$I$16:$I$268,$C$42, 'Self-Assessment Questionnaire'!$H$16:$H$268,$D44)</f>
        <v>0</v>
      </c>
      <c r="O44" s="435" t="str">
        <f>FX!$C$78</f>
        <v>Advanced</v>
      </c>
      <c r="P44" s="436"/>
      <c r="Q44" s="63" t="str">
        <f>IF(G44=0,FX!$C$103,((E44+K44)/G44))</f>
        <v>-</v>
      </c>
      <c r="R44" s="54">
        <f>IF(G44=0,0,Q44)</f>
        <v>0</v>
      </c>
      <c r="S44" s="63">
        <f>IF(G44=0,0,IF(Q44&gt;0,100%-Q44,0))</f>
        <v>0</v>
      </c>
      <c r="U44" s="21" t="s">
        <v>1290</v>
      </c>
      <c r="V44" s="55" t="str">
        <f>CONCATENATE(FX!E44,FX!U44,FX!G44)</f>
        <v>0 / 0</v>
      </c>
      <c r="W44" s="56" t="str">
        <f>CONCATENATE(FX!H44,FX!U44,FX!J44)</f>
        <v>0 / 0</v>
      </c>
      <c r="X44" s="56" t="str">
        <f>CONCATENATE(FX!K44,FX!U44,FX!M44)</f>
        <v>0 / 0</v>
      </c>
    </row>
    <row r="45" spans="3:24" ht="15" thickBot="1">
      <c r="C45" s="434"/>
      <c r="D45" s="51" t="str">
        <f>FX!$C$79</f>
        <v>Not Applicable</v>
      </c>
      <c r="E45" s="52">
        <f>COUNTIFS('Self-Assessment Questionnaire'!$I$16:$I$268,$C$42, 'Self-Assessment Questionnaire'!$H$16:$H$268,$D45)</f>
        <v>0</v>
      </c>
      <c r="F45" s="51" t="s">
        <v>1291</v>
      </c>
      <c r="G45" s="52"/>
      <c r="H45" s="52"/>
      <c r="I45" s="52"/>
      <c r="J45" s="52"/>
      <c r="K45" s="52"/>
      <c r="L45" s="52"/>
      <c r="M45" s="52"/>
      <c r="O45" s="435" t="str">
        <f>FX!$C$79</f>
        <v>Not Applicable</v>
      </c>
      <c r="P45" s="436"/>
      <c r="Q45" s="63" t="str">
        <f>IF(SUM(K42:K44)=0,C101,(SUM(K42:K44)/(SUM(M42:M44))))</f>
        <v>All</v>
      </c>
      <c r="R45" s="54">
        <f>IF(G45=0,0,Q45)</f>
        <v>0</v>
      </c>
      <c r="S45" s="63">
        <f>IF(G45=0,0,IF(Q45&gt;0,100%-Q45,0))</f>
        <v>0</v>
      </c>
      <c r="V45" s="55" t="str">
        <f>CONCATENATE(FX!E45,FX!U45,FX!G45)</f>
        <v>0</v>
      </c>
      <c r="W45" s="56" t="str">
        <f>CONCATENATE(FX!H45,FX!U45,FX!J45)</f>
        <v/>
      </c>
      <c r="X45" s="56" t="str">
        <f>CONCATENATE(FX!K45,FX!U45,FX!M45)</f>
        <v/>
      </c>
    </row>
    <row r="46" spans="3:24" ht="18.5" thickBot="1">
      <c r="C46" s="57"/>
      <c r="D46" s="58"/>
      <c r="E46" s="58"/>
      <c r="F46" s="58"/>
      <c r="G46" s="58"/>
      <c r="H46" s="58"/>
      <c r="I46" s="58"/>
      <c r="J46" s="58"/>
      <c r="K46" s="58"/>
      <c r="L46" s="58"/>
      <c r="M46" s="58"/>
      <c r="O46" s="58"/>
      <c r="P46" s="58"/>
      <c r="Q46" s="58"/>
      <c r="R46" s="58"/>
      <c r="S46" s="58"/>
      <c r="V46" s="59" t="str">
        <f>CONCATENATE(FX!E46,FX!U46,FX!G46)</f>
        <v/>
      </c>
      <c r="W46" s="59" t="str">
        <f>CONCATENATE(FX!H46,FX!U46,FX!J46)</f>
        <v/>
      </c>
      <c r="X46" s="59" t="str">
        <f>CONCATENATE(FX!K46,FX!U46,FX!M46)</f>
        <v/>
      </c>
    </row>
    <row r="47" spans="3:24">
      <c r="C47" s="432" t="str">
        <f>FX!C89</f>
        <v>Water Management</v>
      </c>
      <c r="D47" s="51" t="str">
        <f>FX!$C$76</f>
        <v>Essential</v>
      </c>
      <c r="E47" s="52">
        <f>COUNTIFS('Self-Assessment Questionnaire'!$I$16:$I$268,$C$47, 'Self-Assessment Questionnaire'!$H$16:$H$268,$D47,'Self-Assessment Questionnaire'!$G$16:$G$268,E$11)</f>
        <v>1</v>
      </c>
      <c r="F47" s="53" t="s">
        <v>1289</v>
      </c>
      <c r="G47" s="51">
        <f>M47</f>
        <v>1</v>
      </c>
      <c r="H47" s="52">
        <f>COUNTIFS('Self-Assessment Questionnaire'!$I$16:$I$268,$C$47, 'Self-Assessment Questionnaire'!$H$16:$H$268,$D47,'Self-Assessment Questionnaire'!$G$16:$G$268,H$11)</f>
        <v>0</v>
      </c>
      <c r="I47" s="53" t="s">
        <v>1289</v>
      </c>
      <c r="J47" s="51">
        <f>M47</f>
        <v>1</v>
      </c>
      <c r="K47" s="52">
        <f>COUNTIFS('Self-Assessment Questionnaire'!$I$16:$I$268,$C$47, 'Self-Assessment Questionnaire'!$H$16:$H$268,$D47,'Self-Assessment Questionnaire'!$G$16:$G$268,K$11)</f>
        <v>0</v>
      </c>
      <c r="L47" s="53" t="s">
        <v>1289</v>
      </c>
      <c r="M47" s="51">
        <f>COUNTIFS('Self-Assessment Questionnaire'!$I$16:$I$268,$C$47, 'Self-Assessment Questionnaire'!$H$16:$H$268,$D47)</f>
        <v>1</v>
      </c>
      <c r="O47" s="435" t="str">
        <f>FX!$C$76</f>
        <v>Essential</v>
      </c>
      <c r="P47" s="436"/>
      <c r="Q47" s="63">
        <f>IF(G47=0,FX!$C$103,((E47+K47)/G47))</f>
        <v>1</v>
      </c>
      <c r="R47" s="54">
        <f>IF(G47=0,0,Q47)</f>
        <v>1</v>
      </c>
      <c r="S47" s="63">
        <f>IF(G47=0,0,IF(Q47&gt;0,100%-Q47,0))</f>
        <v>0</v>
      </c>
      <c r="U47" s="21" t="s">
        <v>1290</v>
      </c>
      <c r="V47" s="55" t="str">
        <f>CONCATENATE(FX!E47,FX!U47,FX!G47)</f>
        <v>1 / 1</v>
      </c>
      <c r="W47" s="56" t="str">
        <f>CONCATENATE(FX!H47,FX!U47,FX!J47)</f>
        <v>0 / 1</v>
      </c>
      <c r="X47" s="56" t="str">
        <f>CONCATENATE(FX!K47,FX!U47,FX!M47)</f>
        <v>0 / 1</v>
      </c>
    </row>
    <row r="48" spans="3:24">
      <c r="C48" s="433"/>
      <c r="D48" s="51" t="str">
        <f>FX!$C$77</f>
        <v>Intermediate</v>
      </c>
      <c r="E48" s="52">
        <f>COUNTIFS('Self-Assessment Questionnaire'!$I$16:$I$268,$C$47, 'Self-Assessment Questionnaire'!$H$16:$H$268,$D48,'Self-Assessment Questionnaire'!$G$16:$G$268,E$11)</f>
        <v>2</v>
      </c>
      <c r="F48" s="53" t="s">
        <v>1289</v>
      </c>
      <c r="G48" s="51">
        <f>M48</f>
        <v>2</v>
      </c>
      <c r="H48" s="52">
        <f>COUNTIFS('Self-Assessment Questionnaire'!$I$16:$I$268,$C$47, 'Self-Assessment Questionnaire'!$H$16:$H$268,$D48,'Self-Assessment Questionnaire'!$G$16:$G$268,H$11)</f>
        <v>0</v>
      </c>
      <c r="I48" s="53" t="s">
        <v>1289</v>
      </c>
      <c r="J48" s="51">
        <f>M48</f>
        <v>2</v>
      </c>
      <c r="K48" s="52">
        <f>COUNTIFS('Self-Assessment Questionnaire'!$I$16:$I$268,$C$47, 'Self-Assessment Questionnaire'!$H$16:$H$268,$D48,'Self-Assessment Questionnaire'!$G$16:$G$268,K$11)</f>
        <v>0</v>
      </c>
      <c r="L48" s="53" t="s">
        <v>1289</v>
      </c>
      <c r="M48" s="51">
        <f>COUNTIFS('Self-Assessment Questionnaire'!$I$16:$I$268,$C$47, 'Self-Assessment Questionnaire'!$H$16:$H$268,$D48)</f>
        <v>2</v>
      </c>
      <c r="O48" s="435" t="str">
        <f>FX!$C$77</f>
        <v>Intermediate</v>
      </c>
      <c r="P48" s="436"/>
      <c r="Q48" s="63">
        <f>IF(G48=0,FX!$C$103,((E48+K48)/G48))</f>
        <v>1</v>
      </c>
      <c r="R48" s="54">
        <f>IF(G48=0,0,Q48)</f>
        <v>1</v>
      </c>
      <c r="S48" s="63">
        <f>IF(G48=0,0,IF(Q48&gt;0,100%-Q48,0))</f>
        <v>0</v>
      </c>
      <c r="U48" s="21" t="s">
        <v>1290</v>
      </c>
      <c r="V48" s="55" t="str">
        <f>CONCATENATE(FX!E48,FX!U48,FX!G48)</f>
        <v>2 / 2</v>
      </c>
      <c r="W48" s="56" t="str">
        <f>CONCATENATE(FX!H48,FX!U48,FX!J48)</f>
        <v>0 / 2</v>
      </c>
      <c r="X48" s="56" t="str">
        <f>CONCATENATE(FX!K48,FX!U48,FX!M48)</f>
        <v>0 / 2</v>
      </c>
    </row>
    <row r="49" spans="3:24">
      <c r="C49" s="433"/>
      <c r="D49" s="51" t="str">
        <f>FX!$C$78</f>
        <v>Advanced</v>
      </c>
      <c r="E49" s="52">
        <f>COUNTIFS('Self-Assessment Questionnaire'!$I$16:$I$268,$C$47, 'Self-Assessment Questionnaire'!$H$16:$H$268,$D49,'Self-Assessment Questionnaire'!$G$16:$G$268,E$11)</f>
        <v>2</v>
      </c>
      <c r="F49" s="53" t="s">
        <v>1289</v>
      </c>
      <c r="G49" s="51">
        <f>M49</f>
        <v>2</v>
      </c>
      <c r="H49" s="52">
        <f>COUNTIFS('Self-Assessment Questionnaire'!$I$16:$I$268,$C$47, 'Self-Assessment Questionnaire'!$H$16:$H$268,$D49,'Self-Assessment Questionnaire'!$G$16:$G$268,H$11)</f>
        <v>0</v>
      </c>
      <c r="I49" s="53" t="s">
        <v>1289</v>
      </c>
      <c r="J49" s="51">
        <f>M49</f>
        <v>2</v>
      </c>
      <c r="K49" s="52">
        <f>COUNTIFS('Self-Assessment Questionnaire'!$I$16:$I$268,$C$47, 'Self-Assessment Questionnaire'!$H$16:$H$268,$D49,'Self-Assessment Questionnaire'!$G$16:$G$268,K$11)</f>
        <v>0</v>
      </c>
      <c r="L49" s="53" t="s">
        <v>1289</v>
      </c>
      <c r="M49" s="51">
        <f>COUNTIFS('Self-Assessment Questionnaire'!$I$16:$I$268,$C$47, 'Self-Assessment Questionnaire'!$H$16:$H$268,$D49)</f>
        <v>2</v>
      </c>
      <c r="O49" s="435" t="str">
        <f>FX!$C$78</f>
        <v>Advanced</v>
      </c>
      <c r="P49" s="436"/>
      <c r="Q49" s="63">
        <f>IF(G49=0,FX!$C$103,((E49+K49)/G49))</f>
        <v>1</v>
      </c>
      <c r="R49" s="54">
        <f>IF(G49=0,0,Q49)</f>
        <v>1</v>
      </c>
      <c r="S49" s="63">
        <f>IF(G49=0,0,IF(Q49&gt;0,100%-Q49,0))</f>
        <v>0</v>
      </c>
      <c r="U49" s="21" t="s">
        <v>1290</v>
      </c>
      <c r="V49" s="55" t="str">
        <f>CONCATENATE(FX!E49,FX!U49,FX!G49)</f>
        <v>2 / 2</v>
      </c>
      <c r="W49" s="56" t="str">
        <f>CONCATENATE(FX!H49,FX!U49,FX!J49)</f>
        <v>0 / 2</v>
      </c>
      <c r="X49" s="56" t="str">
        <f>CONCATENATE(FX!K49,FX!U49,FX!M49)</f>
        <v>0 / 2</v>
      </c>
    </row>
    <row r="50" spans="3:24" ht="15" thickBot="1">
      <c r="C50" s="434"/>
      <c r="D50" s="51" t="str">
        <f>FX!$C$79</f>
        <v>Not Applicable</v>
      </c>
      <c r="E50" s="52">
        <f>COUNTIFS('Self-Assessment Questionnaire'!$I$16:$I$268,$C$47, 'Self-Assessment Questionnaire'!$H$16:$H$268,$D50)</f>
        <v>8</v>
      </c>
      <c r="F50" s="51" t="s">
        <v>1291</v>
      </c>
      <c r="G50" s="52"/>
      <c r="H50" s="52"/>
      <c r="I50" s="52"/>
      <c r="J50" s="52"/>
      <c r="K50" s="52"/>
      <c r="L50" s="52"/>
      <c r="M50" s="52"/>
      <c r="O50" s="435" t="str">
        <f>FX!$C$79</f>
        <v>Not Applicable</v>
      </c>
      <c r="P50" s="436"/>
      <c r="Q50" s="63" t="str">
        <f>IF(SUM(K47:K49)=0,C101,(SUM(K47:K49)/(SUM(M47:M49))))</f>
        <v>All</v>
      </c>
      <c r="R50" s="54">
        <f>IF(G50=0,0,Q50)</f>
        <v>0</v>
      </c>
      <c r="S50" s="63">
        <f>IF(G50=0,0,IF(Q50&gt;0,100%-Q50,0))</f>
        <v>0</v>
      </c>
      <c r="V50" s="55" t="str">
        <f>CONCATENATE(FX!E50,FX!U50,FX!G50)</f>
        <v>8</v>
      </c>
      <c r="W50" s="56" t="str">
        <f>CONCATENATE(FX!H50,FX!U50,FX!J50)</f>
        <v/>
      </c>
      <c r="X50" s="56" t="str">
        <f>CONCATENATE(FX!K50,FX!U50,FX!M50)</f>
        <v/>
      </c>
    </row>
    <row r="51" spans="3:24" ht="18.5" thickBot="1">
      <c r="C51" s="57"/>
      <c r="D51" s="58"/>
      <c r="E51" s="58"/>
      <c r="F51" s="58"/>
      <c r="G51" s="58"/>
      <c r="H51" s="58"/>
      <c r="I51" s="58"/>
      <c r="J51" s="58"/>
      <c r="K51" s="58"/>
      <c r="L51" s="58"/>
      <c r="M51" s="58"/>
      <c r="O51" s="58"/>
      <c r="P51" s="58"/>
      <c r="Q51" s="58"/>
      <c r="R51" s="58"/>
      <c r="S51" s="58"/>
      <c r="V51" s="59" t="str">
        <f>CONCATENATE(FX!E51,FX!U51,FX!G51)</f>
        <v/>
      </c>
      <c r="W51" s="59" t="str">
        <f>CONCATENATE(FX!H51,FX!U51,FX!J51)</f>
        <v/>
      </c>
      <c r="X51" s="59" t="str">
        <f>CONCATENATE(FX!K51,FX!U51,FX!M51)</f>
        <v/>
      </c>
    </row>
    <row r="52" spans="3:24">
      <c r="C52" s="432" t="str">
        <f>FX!C90</f>
        <v>Biodiversity</v>
      </c>
      <c r="D52" s="51" t="str">
        <f>FX!$C$76</f>
        <v>Essential</v>
      </c>
      <c r="E52" s="52">
        <f>COUNTIFS('Self-Assessment Questionnaire'!$I$16:$I$268,$C$52, 'Self-Assessment Questionnaire'!$H$16:$H$268,$D52,'Self-Assessment Questionnaire'!$G$16:$G$268,E$11)</f>
        <v>1</v>
      </c>
      <c r="F52" s="53" t="s">
        <v>1289</v>
      </c>
      <c r="G52" s="51">
        <f>M52</f>
        <v>1</v>
      </c>
      <c r="H52" s="52">
        <f>COUNTIFS('Self-Assessment Questionnaire'!$I$16:$I$268,$C$52, 'Self-Assessment Questionnaire'!$H$16:$H$268,$D52,'Self-Assessment Questionnaire'!$G$16:$G$268,H$11)</f>
        <v>0</v>
      </c>
      <c r="I52" s="53" t="s">
        <v>1289</v>
      </c>
      <c r="J52" s="51">
        <f>M52</f>
        <v>1</v>
      </c>
      <c r="K52" s="52">
        <f>COUNTIFS('Self-Assessment Questionnaire'!$I$16:$I$268,$C$52, 'Self-Assessment Questionnaire'!$H$16:$H$268,$D52,'Self-Assessment Questionnaire'!$G$16:$G$268,K$11)</f>
        <v>0</v>
      </c>
      <c r="L52" s="53" t="s">
        <v>1289</v>
      </c>
      <c r="M52" s="51">
        <f>COUNTIFS('Self-Assessment Questionnaire'!$I$16:$I$268,$C$52, 'Self-Assessment Questionnaire'!$H$16:$H$268,$D52)</f>
        <v>1</v>
      </c>
      <c r="O52" s="435" t="str">
        <f>FX!$C$76</f>
        <v>Essential</v>
      </c>
      <c r="P52" s="436"/>
      <c r="Q52" s="63">
        <f>IF(G52=0,FX!$C$103,((E52+K52)/G52))</f>
        <v>1</v>
      </c>
      <c r="R52" s="54">
        <f>IF(G52=0,0,Q52)</f>
        <v>1</v>
      </c>
      <c r="S52" s="63">
        <f>IF(G52=0,0,IF(Q52&gt;0,100%-Q52,0))</f>
        <v>0</v>
      </c>
      <c r="U52" s="21" t="s">
        <v>1290</v>
      </c>
      <c r="V52" s="55" t="str">
        <f>CONCATENATE(FX!E52,FX!U52,FX!G52)</f>
        <v>1 / 1</v>
      </c>
      <c r="W52" s="56" t="str">
        <f>CONCATENATE(FX!H52,FX!U52,FX!J52)</f>
        <v>0 / 1</v>
      </c>
      <c r="X52" s="56" t="str">
        <f>CONCATENATE(FX!K52,FX!U52,FX!M52)</f>
        <v>0 / 1</v>
      </c>
    </row>
    <row r="53" spans="3:24">
      <c r="C53" s="433"/>
      <c r="D53" s="51" t="str">
        <f>FX!$C$77</f>
        <v>Intermediate</v>
      </c>
      <c r="E53" s="52">
        <f>COUNTIFS('Self-Assessment Questionnaire'!$I$16:$I$268,$C$52, 'Self-Assessment Questionnaire'!$H$16:$H$268,$D53,'Self-Assessment Questionnaire'!$G$16:$G$268,E$11)</f>
        <v>5</v>
      </c>
      <c r="F53" s="53" t="s">
        <v>1289</v>
      </c>
      <c r="G53" s="51">
        <f>M53</f>
        <v>5</v>
      </c>
      <c r="H53" s="52">
        <f>COUNTIFS('Self-Assessment Questionnaire'!$I$16:$I$268,$C$52, 'Self-Assessment Questionnaire'!$H$16:$H$268,$D53,'Self-Assessment Questionnaire'!$G$16:$G$268,H$11)</f>
        <v>0</v>
      </c>
      <c r="I53" s="53" t="s">
        <v>1289</v>
      </c>
      <c r="J53" s="51">
        <f>M53</f>
        <v>5</v>
      </c>
      <c r="K53" s="52">
        <f>COUNTIFS('Self-Assessment Questionnaire'!$I$16:$I$268,$C$52, 'Self-Assessment Questionnaire'!$H$16:$H$268,$D53,'Self-Assessment Questionnaire'!$G$16:$G$268,K$11)</f>
        <v>0</v>
      </c>
      <c r="L53" s="53" t="s">
        <v>1289</v>
      </c>
      <c r="M53" s="51">
        <f>COUNTIFS('Self-Assessment Questionnaire'!$I$16:$I$268,$C$52, 'Self-Assessment Questionnaire'!$H$16:$H$268,$D53)</f>
        <v>5</v>
      </c>
      <c r="O53" s="435" t="str">
        <f>FX!$C$77</f>
        <v>Intermediate</v>
      </c>
      <c r="P53" s="436"/>
      <c r="Q53" s="63">
        <f>IF(G53=0,FX!$C$103,((E53+K53)/G53))</f>
        <v>1</v>
      </c>
      <c r="R53" s="54">
        <f>IF(G53=0,0,Q53)</f>
        <v>1</v>
      </c>
      <c r="S53" s="63">
        <f>IF(G53=0,0,IF(Q53&gt;0,100%-Q53,0))</f>
        <v>0</v>
      </c>
      <c r="U53" s="21" t="s">
        <v>1290</v>
      </c>
      <c r="V53" s="55" t="str">
        <f>CONCATENATE(FX!E53,FX!U53,FX!G53)</f>
        <v>5 / 5</v>
      </c>
      <c r="W53" s="56" t="str">
        <f>CONCATENATE(FX!H53,FX!U53,FX!J53)</f>
        <v>0 / 5</v>
      </c>
      <c r="X53" s="56" t="str">
        <f>CONCATENATE(FX!K53,FX!U53,FX!M53)</f>
        <v>0 / 5</v>
      </c>
    </row>
    <row r="54" spans="3:24">
      <c r="C54" s="433"/>
      <c r="D54" s="51" t="str">
        <f>FX!$C$78</f>
        <v>Advanced</v>
      </c>
      <c r="E54" s="52">
        <f>COUNTIFS('Self-Assessment Questionnaire'!$I$16:$I$268,$C$52, 'Self-Assessment Questionnaire'!$H$16:$H$268,$D54,'Self-Assessment Questionnaire'!$G$16:$G$268,E$11)</f>
        <v>5</v>
      </c>
      <c r="F54" s="53" t="s">
        <v>1289</v>
      </c>
      <c r="G54" s="51">
        <f>M54</f>
        <v>5</v>
      </c>
      <c r="H54" s="52">
        <f>COUNTIFS('Self-Assessment Questionnaire'!$I$16:$I$268,$C$52, 'Self-Assessment Questionnaire'!$H$16:$H$268,$D54,'Self-Assessment Questionnaire'!$G$16:$G$268,H$11)</f>
        <v>0</v>
      </c>
      <c r="I54" s="53" t="s">
        <v>1289</v>
      </c>
      <c r="J54" s="51">
        <f>M54</f>
        <v>5</v>
      </c>
      <c r="K54" s="52">
        <f>COUNTIFS('Self-Assessment Questionnaire'!$I$16:$I$268,$C$52, 'Self-Assessment Questionnaire'!$H$16:$H$268,$D54,'Self-Assessment Questionnaire'!$G$16:$G$268,K$11)</f>
        <v>0</v>
      </c>
      <c r="L54" s="53" t="s">
        <v>1289</v>
      </c>
      <c r="M54" s="51">
        <f>COUNTIFS('Self-Assessment Questionnaire'!$I$16:$I$268,$C$52, 'Self-Assessment Questionnaire'!$H$16:$H$268,$D54)</f>
        <v>5</v>
      </c>
      <c r="O54" s="435" t="str">
        <f>FX!$C$78</f>
        <v>Advanced</v>
      </c>
      <c r="P54" s="436"/>
      <c r="Q54" s="63">
        <f>IF(G54=0,FX!$C$103,((E54+K54)/G54))</f>
        <v>1</v>
      </c>
      <c r="R54" s="54">
        <f>IF(G54=0,0,Q54)</f>
        <v>1</v>
      </c>
      <c r="S54" s="63">
        <f>IF(G54=0,0,IF(Q54&gt;0,100%-Q54,0))</f>
        <v>0</v>
      </c>
      <c r="U54" s="21" t="s">
        <v>1290</v>
      </c>
      <c r="V54" s="55" t="str">
        <f>CONCATENATE(FX!E54,FX!U54,FX!G54)</f>
        <v>5 / 5</v>
      </c>
      <c r="W54" s="56" t="str">
        <f>CONCATENATE(FX!H54,FX!U54,FX!J54)</f>
        <v>0 / 5</v>
      </c>
      <c r="X54" s="56" t="str">
        <f>CONCATENATE(FX!K54,FX!U54,FX!M54)</f>
        <v>0 / 5</v>
      </c>
    </row>
    <row r="55" spans="3:24" ht="15" thickBot="1">
      <c r="C55" s="434"/>
      <c r="D55" s="51" t="str">
        <f>FX!$C$79</f>
        <v>Not Applicable</v>
      </c>
      <c r="E55" s="52">
        <f>COUNTIFS('Self-Assessment Questionnaire'!$I$16:$I$268,$C$52, 'Self-Assessment Questionnaire'!$H$16:$H$268,$D55)</f>
        <v>0</v>
      </c>
      <c r="F55" s="51" t="s">
        <v>1291</v>
      </c>
      <c r="G55" s="52"/>
      <c r="H55" s="52"/>
      <c r="I55" s="52"/>
      <c r="J55" s="52"/>
      <c r="K55" s="52"/>
      <c r="L55" s="52"/>
      <c r="M55" s="52"/>
      <c r="O55" s="435" t="str">
        <f>FX!$C$79</f>
        <v>Not Applicable</v>
      </c>
      <c r="P55" s="436"/>
      <c r="Q55" s="63" t="str">
        <f>IF(SUM(K52:K54)=0,C101,(SUM(K52:K54)/(SUM(M52:M54))))</f>
        <v>All</v>
      </c>
      <c r="R55" s="54">
        <f>IF(G55=0,0,Q55)</f>
        <v>0</v>
      </c>
      <c r="S55" s="63">
        <f>IF(G55=0,0,IF(Q55&gt;0,100%-Q55,0))</f>
        <v>0</v>
      </c>
      <c r="V55" s="55" t="str">
        <f>CONCATENATE(FX!E55,FX!U55,FX!G55)</f>
        <v>0</v>
      </c>
      <c r="W55" s="56" t="str">
        <f>CONCATENATE(FX!H55,FX!U55,FX!J55)</f>
        <v/>
      </c>
      <c r="X55" s="56" t="str">
        <f>CONCATENATE(FX!K55,FX!U55,FX!M55)</f>
        <v/>
      </c>
    </row>
    <row r="56" spans="3:24" ht="18.5" thickBot="1">
      <c r="C56" s="57"/>
      <c r="D56" s="58"/>
      <c r="E56" s="58"/>
      <c r="F56" s="58"/>
      <c r="G56" s="58"/>
      <c r="H56" s="58"/>
      <c r="I56" s="58"/>
      <c r="J56" s="58"/>
      <c r="K56" s="58"/>
      <c r="L56" s="58"/>
      <c r="M56" s="58"/>
      <c r="O56" s="58"/>
      <c r="P56" s="58"/>
      <c r="Q56" s="58"/>
      <c r="R56" s="58"/>
      <c r="S56" s="58"/>
      <c r="V56" s="59" t="str">
        <f>CONCATENATE(FX!E56,FX!U56,FX!G56)</f>
        <v/>
      </c>
      <c r="W56" s="59" t="str">
        <f>CONCATENATE(FX!H56,FX!U56,FX!J56)</f>
        <v/>
      </c>
      <c r="X56" s="59" t="str">
        <f>CONCATENATE(FX!K56,FX!U56,FX!M56)</f>
        <v/>
      </c>
    </row>
    <row r="57" spans="3:24">
      <c r="C57" s="437" t="str">
        <f>FX!C91</f>
        <v>Air Quality and Emissions</v>
      </c>
      <c r="D57" s="51" t="str">
        <f>FX!$C$76</f>
        <v>Essential</v>
      </c>
      <c r="E57" s="52">
        <f>COUNTIFS('Self-Assessment Questionnaire'!$I$16:$I$268,$C$57, 'Self-Assessment Questionnaire'!$H$16:$H$268,$D57,'Self-Assessment Questionnaire'!$G$16:$G$268,E$11)</f>
        <v>0</v>
      </c>
      <c r="F57" s="53" t="s">
        <v>1289</v>
      </c>
      <c r="G57" s="51">
        <f>M57</f>
        <v>0</v>
      </c>
      <c r="H57" s="52">
        <f>COUNTIFS('Self-Assessment Questionnaire'!$I$16:$I$268,$C$57, 'Self-Assessment Questionnaire'!$H$16:$H$268,$D57,'Self-Assessment Questionnaire'!$G$16:$G$268,H$11)</f>
        <v>0</v>
      </c>
      <c r="I57" s="53" t="s">
        <v>1289</v>
      </c>
      <c r="J57" s="51">
        <f>M57</f>
        <v>0</v>
      </c>
      <c r="K57" s="52">
        <f>COUNTIFS('Self-Assessment Questionnaire'!$I$16:$I$268,$C$57, 'Self-Assessment Questionnaire'!$H$16:$H$268,$D57,'Self-Assessment Questionnaire'!$G$16:$G$268,K$11)</f>
        <v>0</v>
      </c>
      <c r="L57" s="53" t="s">
        <v>1289</v>
      </c>
      <c r="M57" s="51">
        <f>COUNTIFS('Self-Assessment Questionnaire'!$I$16:$I$268,$C$57, 'Self-Assessment Questionnaire'!$H$16:$H$268,$D57)</f>
        <v>0</v>
      </c>
      <c r="O57" s="435" t="str">
        <f>FX!$C$76</f>
        <v>Essential</v>
      </c>
      <c r="P57" s="436"/>
      <c r="Q57" s="63" t="str">
        <f>IF(G57=0,FX!$C$103,((E57+K57)/G57))</f>
        <v>-</v>
      </c>
      <c r="R57" s="54">
        <f>IF(G57=0,0,Q57)</f>
        <v>0</v>
      </c>
      <c r="S57" s="63">
        <f>IF(G57=0,0,IF(Q57&gt;0,100%-Q57,0))</f>
        <v>0</v>
      </c>
      <c r="U57" s="21" t="s">
        <v>1290</v>
      </c>
      <c r="V57" s="55" t="str">
        <f>CONCATENATE(FX!E57,FX!U57,FX!G57)</f>
        <v>0 / 0</v>
      </c>
      <c r="W57" s="56" t="str">
        <f>CONCATENATE(FX!H57,FX!U57,FX!J57)</f>
        <v>0 / 0</v>
      </c>
      <c r="X57" s="56" t="str">
        <f>CONCATENATE(FX!K57,FX!U57,FX!M57)</f>
        <v>0 / 0</v>
      </c>
    </row>
    <row r="58" spans="3:24">
      <c r="C58" s="438"/>
      <c r="D58" s="51" t="str">
        <f>FX!$C$77</f>
        <v>Intermediate</v>
      </c>
      <c r="E58" s="52">
        <f>COUNTIFS('Self-Assessment Questionnaire'!$I$16:$I$268,$C$57, 'Self-Assessment Questionnaire'!$H$16:$H$268,$D58,'Self-Assessment Questionnaire'!$G$16:$G$268,E$11)</f>
        <v>3</v>
      </c>
      <c r="F58" s="53" t="s">
        <v>1289</v>
      </c>
      <c r="G58" s="51">
        <f>M58</f>
        <v>3</v>
      </c>
      <c r="H58" s="52">
        <f>COUNTIFS('Self-Assessment Questionnaire'!$I$16:$I$268,$C$57, 'Self-Assessment Questionnaire'!$H$16:$H$268,$D58,'Self-Assessment Questionnaire'!$G$16:$G$268,H$11)</f>
        <v>0</v>
      </c>
      <c r="I58" s="53" t="s">
        <v>1289</v>
      </c>
      <c r="J58" s="51">
        <f>M58</f>
        <v>3</v>
      </c>
      <c r="K58" s="52">
        <f>COUNTIFS('Self-Assessment Questionnaire'!$I$16:$I$268,$C$57, 'Self-Assessment Questionnaire'!$H$16:$H$268,$D58,'Self-Assessment Questionnaire'!$G$16:$G$268,K$11)</f>
        <v>0</v>
      </c>
      <c r="L58" s="53" t="s">
        <v>1289</v>
      </c>
      <c r="M58" s="51">
        <f>COUNTIFS('Self-Assessment Questionnaire'!$I$16:$I$268,$C$57, 'Self-Assessment Questionnaire'!$H$16:$H$268,$D58)</f>
        <v>3</v>
      </c>
      <c r="O58" s="435" t="str">
        <f>FX!$C$77</f>
        <v>Intermediate</v>
      </c>
      <c r="P58" s="436"/>
      <c r="Q58" s="63">
        <f>IF(G58=0,FX!$C$103,((E58+K58)/G58))</f>
        <v>1</v>
      </c>
      <c r="R58" s="54">
        <f>IF(G58=0,0,Q58)</f>
        <v>1</v>
      </c>
      <c r="S58" s="63">
        <f>IF(G58=0,0,IF(Q58&gt;0,100%-Q58,0))</f>
        <v>0</v>
      </c>
      <c r="U58" s="21" t="s">
        <v>1290</v>
      </c>
      <c r="V58" s="55" t="str">
        <f>CONCATENATE(FX!E58,FX!U58,FX!G58)</f>
        <v>3 / 3</v>
      </c>
      <c r="W58" s="56" t="str">
        <f>CONCATENATE(FX!H58,FX!U58,FX!J58)</f>
        <v>0 / 3</v>
      </c>
      <c r="X58" s="56" t="str">
        <f>CONCATENATE(FX!K58,FX!U58,FX!M58)</f>
        <v>0 / 3</v>
      </c>
    </row>
    <row r="59" spans="3:24">
      <c r="C59" s="438"/>
      <c r="D59" s="51" t="str">
        <f>FX!$C$78</f>
        <v>Advanced</v>
      </c>
      <c r="E59" s="52">
        <f>COUNTIFS('Self-Assessment Questionnaire'!$I$16:$I$268,$C$57, 'Self-Assessment Questionnaire'!$H$16:$H$268,$D59,'Self-Assessment Questionnaire'!$G$16:$G$268,E$11)</f>
        <v>2</v>
      </c>
      <c r="F59" s="53" t="s">
        <v>1289</v>
      </c>
      <c r="G59" s="51">
        <f>M59</f>
        <v>2</v>
      </c>
      <c r="H59" s="52">
        <f>COUNTIFS('Self-Assessment Questionnaire'!$I$16:$I$268,$C$57, 'Self-Assessment Questionnaire'!$H$16:$H$268,$D59,'Self-Assessment Questionnaire'!$G$16:$G$268,H$11)</f>
        <v>0</v>
      </c>
      <c r="I59" s="53" t="s">
        <v>1289</v>
      </c>
      <c r="J59" s="51">
        <f>M59</f>
        <v>2</v>
      </c>
      <c r="K59" s="52">
        <f>COUNTIFS('Self-Assessment Questionnaire'!$I$16:$I$268,$C$57, 'Self-Assessment Questionnaire'!$H$16:$H$268,$D59,'Self-Assessment Questionnaire'!$G$16:$G$268,K$11)</f>
        <v>0</v>
      </c>
      <c r="L59" s="53" t="s">
        <v>1289</v>
      </c>
      <c r="M59" s="51">
        <f>COUNTIFS('Self-Assessment Questionnaire'!$I$16:$I$268,$C$57, 'Self-Assessment Questionnaire'!$H$16:$H$268,$D59)</f>
        <v>2</v>
      </c>
      <c r="O59" s="435" t="str">
        <f>FX!$C$78</f>
        <v>Advanced</v>
      </c>
      <c r="P59" s="436"/>
      <c r="Q59" s="63">
        <f>IF(G59=0,FX!$C$103,((E59+K59)/G59))</f>
        <v>1</v>
      </c>
      <c r="R59" s="54">
        <f>IF(G59=0,0,Q59)</f>
        <v>1</v>
      </c>
      <c r="S59" s="63">
        <f>IF(G59=0,0,IF(Q59&gt;0,100%-Q59,0))</f>
        <v>0</v>
      </c>
      <c r="U59" s="21" t="s">
        <v>1290</v>
      </c>
      <c r="V59" s="55" t="str">
        <f>CONCATENATE(FX!E59,FX!U59,FX!G59)</f>
        <v>2 / 2</v>
      </c>
      <c r="W59" s="56" t="str">
        <f>CONCATENATE(FX!H59,FX!U59,FX!J59)</f>
        <v>0 / 2</v>
      </c>
      <c r="X59" s="56" t="str">
        <f>CONCATENATE(FX!K59,FX!U59,FX!M59)</f>
        <v>0 / 2</v>
      </c>
    </row>
    <row r="60" spans="3:24" ht="15" thickBot="1">
      <c r="C60" s="439"/>
      <c r="D60" s="51" t="str">
        <f>FX!$C$79</f>
        <v>Not Applicable</v>
      </c>
      <c r="E60" s="52">
        <f>COUNTIFS('Self-Assessment Questionnaire'!$I$16:$I$268,$C$57, 'Self-Assessment Questionnaire'!$H$16:$H$268,$D60)</f>
        <v>0</v>
      </c>
      <c r="F60" s="51" t="s">
        <v>1291</v>
      </c>
      <c r="G60" s="52"/>
      <c r="H60" s="52"/>
      <c r="I60" s="52"/>
      <c r="J60" s="52"/>
      <c r="K60" s="52"/>
      <c r="L60" s="52"/>
      <c r="M60" s="52"/>
      <c r="O60" s="435" t="str">
        <f>FX!$C$79</f>
        <v>Not Applicable</v>
      </c>
      <c r="P60" s="436"/>
      <c r="Q60" s="63" t="str">
        <f>IF(SUM(K57:K59)=0,C101,(SUM(K57:K59)/(SUM(M57:M59))))</f>
        <v>All</v>
      </c>
      <c r="R60" s="54">
        <f>IF(G60=0,0,Q60)</f>
        <v>0</v>
      </c>
      <c r="S60" s="63">
        <f>IF(G60=0,0,IF(Q60&gt;0,100%-Q60,0))</f>
        <v>0</v>
      </c>
      <c r="V60" s="55" t="str">
        <f>CONCATENATE(FX!E60,FX!U60,FX!G60)</f>
        <v>0</v>
      </c>
      <c r="W60" s="56" t="str">
        <f>CONCATENATE(FX!H60,FX!U60,FX!J60)</f>
        <v/>
      </c>
      <c r="X60" s="56" t="str">
        <f>CONCATENATE(FX!K60,FX!U60,FX!M60)</f>
        <v/>
      </c>
    </row>
    <row r="61" spans="3:24" ht="18.5" thickBot="1">
      <c r="C61" s="57"/>
      <c r="D61" s="58"/>
      <c r="E61" s="58"/>
      <c r="F61" s="58"/>
      <c r="G61" s="58"/>
      <c r="H61" s="58"/>
      <c r="I61" s="58"/>
      <c r="J61" s="58"/>
      <c r="K61" s="58"/>
      <c r="L61" s="58"/>
      <c r="M61" s="58"/>
      <c r="O61" s="58"/>
      <c r="P61" s="58"/>
      <c r="Q61" s="58"/>
      <c r="R61" s="58"/>
      <c r="S61" s="58"/>
      <c r="V61" s="59" t="str">
        <f>CONCATENATE(FX!E61,FX!U61,FX!G61)</f>
        <v/>
      </c>
      <c r="W61" s="59" t="str">
        <f>CONCATENATE(FX!H61,FX!U61,FX!J61)</f>
        <v/>
      </c>
      <c r="X61" s="59" t="str">
        <f>CONCATENATE(FX!K61,FX!U61,FX!M61)</f>
        <v/>
      </c>
    </row>
    <row r="62" spans="3:24">
      <c r="C62" s="432" t="str">
        <f>FX!C92</f>
        <v>Labour Conditions</v>
      </c>
      <c r="D62" s="51" t="str">
        <f>FX!$C$76</f>
        <v>Essential</v>
      </c>
      <c r="E62" s="52">
        <f>COUNTIFS('Self-Assessment Questionnaire'!$I$16:$I$268,$C$62, 'Self-Assessment Questionnaire'!$H$16:$H$268,$D62,'Self-Assessment Questionnaire'!$G$16:$G$268,E$11)</f>
        <v>12</v>
      </c>
      <c r="F62" s="53" t="s">
        <v>1289</v>
      </c>
      <c r="G62" s="51">
        <f>M62</f>
        <v>12</v>
      </c>
      <c r="H62" s="52">
        <f>COUNTIFS('Self-Assessment Questionnaire'!$I$16:$I$268,$C$62, 'Self-Assessment Questionnaire'!$H$16:$H$268,$D62,'Self-Assessment Questionnaire'!$G$16:$G$268,H$11)</f>
        <v>0</v>
      </c>
      <c r="I62" s="53" t="s">
        <v>1289</v>
      </c>
      <c r="J62" s="51">
        <f>M62</f>
        <v>12</v>
      </c>
      <c r="K62" s="52">
        <f>COUNTIFS('Self-Assessment Questionnaire'!$I$16:$I$268,$C$62, 'Self-Assessment Questionnaire'!$H$16:$H$268,$D62,'Self-Assessment Questionnaire'!$G$16:$G$268,K$11)</f>
        <v>0</v>
      </c>
      <c r="L62" s="53" t="s">
        <v>1289</v>
      </c>
      <c r="M62" s="51">
        <f>COUNTIFS('Self-Assessment Questionnaire'!$I$16:$I$268,$C$62, 'Self-Assessment Questionnaire'!$H$16:$H$268,$D62)</f>
        <v>12</v>
      </c>
      <c r="O62" s="435" t="str">
        <f>FX!$C$76</f>
        <v>Essential</v>
      </c>
      <c r="P62" s="436"/>
      <c r="Q62" s="63">
        <f>IF(G62=0,FX!$C$103,((E62+K62)/G62))</f>
        <v>1</v>
      </c>
      <c r="R62" s="54">
        <f>IF(G62=0,0,Q62)</f>
        <v>1</v>
      </c>
      <c r="S62" s="63">
        <f>IF(G62=0,0,IF(Q62&gt;0,100%-Q62,0))</f>
        <v>0</v>
      </c>
      <c r="U62" s="21" t="s">
        <v>1290</v>
      </c>
      <c r="V62" s="55" t="str">
        <f>CONCATENATE(FX!E62,FX!U62,FX!G62)</f>
        <v>12 / 12</v>
      </c>
      <c r="W62" s="56" t="str">
        <f>CONCATENATE(FX!H62,FX!U62,FX!J62)</f>
        <v>0 / 12</v>
      </c>
      <c r="X62" s="56" t="str">
        <f>CONCATENATE(FX!K62,FX!U62,FX!M62)</f>
        <v>0 / 12</v>
      </c>
    </row>
    <row r="63" spans="3:24">
      <c r="C63" s="433"/>
      <c r="D63" s="51" t="str">
        <f>FX!$C$77</f>
        <v>Intermediate</v>
      </c>
      <c r="E63" s="52">
        <f>COUNTIFS('Self-Assessment Questionnaire'!$I$16:$I$268,$C$62, 'Self-Assessment Questionnaire'!$H$16:$H$268,$D63,'Self-Assessment Questionnaire'!$G$16:$G$268,E$11)</f>
        <v>13</v>
      </c>
      <c r="F63" s="53" t="s">
        <v>1289</v>
      </c>
      <c r="G63" s="51">
        <f>M63</f>
        <v>13</v>
      </c>
      <c r="H63" s="52">
        <f>COUNTIFS('Self-Assessment Questionnaire'!$I$16:$I$268,$C$62, 'Self-Assessment Questionnaire'!$H$16:$H$268,$D63,'Self-Assessment Questionnaire'!$G$16:$G$268,H$11)</f>
        <v>0</v>
      </c>
      <c r="I63" s="53" t="s">
        <v>1289</v>
      </c>
      <c r="J63" s="51">
        <f>M63</f>
        <v>13</v>
      </c>
      <c r="K63" s="52">
        <f>COUNTIFS('Self-Assessment Questionnaire'!$I$16:$I$268,$C$62, 'Self-Assessment Questionnaire'!$H$16:$H$268,$D63,'Self-Assessment Questionnaire'!$G$16:$G$268,K$11)</f>
        <v>0</v>
      </c>
      <c r="L63" s="53" t="s">
        <v>1289</v>
      </c>
      <c r="M63" s="51">
        <f>COUNTIFS('Self-Assessment Questionnaire'!$I$16:$I$268,$C$62, 'Self-Assessment Questionnaire'!$H$16:$H$268,$D63)</f>
        <v>13</v>
      </c>
      <c r="O63" s="435" t="str">
        <f>FX!$C$77</f>
        <v>Intermediate</v>
      </c>
      <c r="P63" s="436"/>
      <c r="Q63" s="63">
        <f>IF(G63=0,FX!$C$103,((E63+K63)/G63))</f>
        <v>1</v>
      </c>
      <c r="R63" s="54">
        <f>IF(G63=0,0,Q63)</f>
        <v>1</v>
      </c>
      <c r="S63" s="63">
        <f>IF(G63=0,0,IF(Q63&gt;0,100%-Q63,0))</f>
        <v>0</v>
      </c>
      <c r="U63" s="21" t="s">
        <v>1290</v>
      </c>
      <c r="V63" s="55" t="str">
        <f>CONCATENATE(FX!E63,FX!U63,FX!G63)</f>
        <v>13 / 13</v>
      </c>
      <c r="W63" s="56" t="str">
        <f>CONCATENATE(FX!H63,FX!U63,FX!J63)</f>
        <v>0 / 13</v>
      </c>
      <c r="X63" s="56" t="str">
        <f>CONCATENATE(FX!K63,FX!U63,FX!M63)</f>
        <v>0 / 13</v>
      </c>
    </row>
    <row r="64" spans="3:24">
      <c r="C64" s="433"/>
      <c r="D64" s="51" t="str">
        <f>FX!$C$78</f>
        <v>Advanced</v>
      </c>
      <c r="E64" s="52">
        <f>COUNTIFS('Self-Assessment Questionnaire'!$I$16:$I$268,$C$62, 'Self-Assessment Questionnaire'!$H$16:$H$268,$D64,'Self-Assessment Questionnaire'!$G$16:$G$268,E$11)</f>
        <v>4</v>
      </c>
      <c r="F64" s="53" t="s">
        <v>1289</v>
      </c>
      <c r="G64" s="51">
        <f>M64</f>
        <v>4</v>
      </c>
      <c r="H64" s="52">
        <f>COUNTIFS('Self-Assessment Questionnaire'!$I$16:$I$268,$C$62, 'Self-Assessment Questionnaire'!$H$16:$H$268,$D64,'Self-Assessment Questionnaire'!$G$16:$G$268,H$11)</f>
        <v>0</v>
      </c>
      <c r="I64" s="53" t="s">
        <v>1289</v>
      </c>
      <c r="J64" s="51">
        <f>M64</f>
        <v>4</v>
      </c>
      <c r="K64" s="52">
        <f>COUNTIFS('Self-Assessment Questionnaire'!$I$16:$I$268,$C$62, 'Self-Assessment Questionnaire'!$H$16:$H$268,$D64,'Self-Assessment Questionnaire'!$G$16:$G$268,K$11)</f>
        <v>0</v>
      </c>
      <c r="L64" s="53" t="s">
        <v>1289</v>
      </c>
      <c r="M64" s="51">
        <f>COUNTIFS('Self-Assessment Questionnaire'!$I$16:$I$268,$C$62, 'Self-Assessment Questionnaire'!$H$16:$H$268,$D64)</f>
        <v>4</v>
      </c>
      <c r="O64" s="435" t="str">
        <f>FX!$C$78</f>
        <v>Advanced</v>
      </c>
      <c r="P64" s="436"/>
      <c r="Q64" s="63">
        <f>IF(G64=0,FX!$C$103,((E64+K64)/G64))</f>
        <v>1</v>
      </c>
      <c r="R64" s="54">
        <f>IF(G64=0,0,Q64)</f>
        <v>1</v>
      </c>
      <c r="S64" s="63">
        <f>IF(G64=0,0,IF(Q64&gt;0,100%-Q64,0))</f>
        <v>0</v>
      </c>
      <c r="U64" s="21" t="s">
        <v>1290</v>
      </c>
      <c r="V64" s="55" t="str">
        <f>CONCATENATE(FX!E64,FX!U64,FX!G64)</f>
        <v>4 / 4</v>
      </c>
      <c r="W64" s="56" t="str">
        <f>CONCATENATE(FX!H64,FX!U64,FX!J64)</f>
        <v>0 / 4</v>
      </c>
      <c r="X64" s="56" t="str">
        <f>CONCATENATE(FX!K64,FX!U64,FX!M64)</f>
        <v>0 / 4</v>
      </c>
    </row>
    <row r="65" spans="3:24" ht="15" thickBot="1">
      <c r="C65" s="434"/>
      <c r="D65" s="51" t="str">
        <f>FX!$C$79</f>
        <v>Not Applicable</v>
      </c>
      <c r="E65" s="52">
        <f>COUNTIFS('Self-Assessment Questionnaire'!$I$16:$I$268,$C$62, 'Self-Assessment Questionnaire'!$H$16:$H$268,$D65)</f>
        <v>3</v>
      </c>
      <c r="F65" s="51" t="s">
        <v>1291</v>
      </c>
      <c r="G65" s="52"/>
      <c r="H65" s="52"/>
      <c r="I65" s="52"/>
      <c r="J65" s="52"/>
      <c r="K65" s="52"/>
      <c r="L65" s="52"/>
      <c r="M65" s="52"/>
      <c r="O65" s="435" t="str">
        <f>FX!$C$79</f>
        <v>Not Applicable</v>
      </c>
      <c r="P65" s="436"/>
      <c r="Q65" s="63" t="str">
        <f>IF(SUM(K62:K64)=0,C101,(SUM(K62:K64)/(SUM(M62:M64))))</f>
        <v>All</v>
      </c>
      <c r="R65" s="54">
        <f>IF(G65=0,0,Q65)</f>
        <v>0</v>
      </c>
      <c r="S65" s="63">
        <f>IF(G65=0,0,IF(Q65&gt;0,100%-Q65,0))</f>
        <v>0</v>
      </c>
      <c r="V65" s="55" t="str">
        <f>CONCATENATE(FX!E65,FX!U65,FX!G65)</f>
        <v>3</v>
      </c>
      <c r="W65" s="56" t="str">
        <f>CONCATENATE(FX!H65,FX!U65,FX!J65)</f>
        <v/>
      </c>
      <c r="X65" s="56" t="str">
        <f>CONCATENATE(FX!K65,FX!U65,FX!M65)</f>
        <v/>
      </c>
    </row>
    <row r="66" spans="3:24" ht="18.5" thickBot="1">
      <c r="C66" s="57"/>
      <c r="D66" s="58"/>
      <c r="E66" s="58"/>
      <c r="F66" s="58"/>
      <c r="G66" s="58"/>
      <c r="H66" s="58"/>
      <c r="I66" s="58"/>
      <c r="J66" s="58"/>
      <c r="K66" s="58"/>
      <c r="L66" s="58"/>
      <c r="M66" s="58"/>
      <c r="O66" s="58"/>
      <c r="P66" s="58"/>
      <c r="Q66" s="58"/>
      <c r="R66" s="58"/>
      <c r="S66" s="58"/>
      <c r="V66" s="59" t="str">
        <f>CONCATENATE(FX!E66,FX!U66,FX!G66)</f>
        <v/>
      </c>
      <c r="W66" s="59" t="str">
        <f>CONCATENATE(FX!H66,FX!U66,FX!J66)</f>
        <v/>
      </c>
      <c r="X66" s="59" t="str">
        <f>CONCATENATE(FX!K66,FX!U66,FX!M66)</f>
        <v/>
      </c>
    </row>
    <row r="67" spans="3:24">
      <c r="C67" s="437" t="s">
        <v>971</v>
      </c>
      <c r="D67" s="51" t="str">
        <f>FX!$C$76</f>
        <v>Essential</v>
      </c>
      <c r="E67" s="52">
        <f>COUNTIFS('Self-Assessment Questionnaire'!$I$16:$I$268,$C$67, 'Self-Assessment Questionnaire'!$H$16:$H$268,$D67,'Self-Assessment Questionnaire'!$G$16:$G$268,E$11)</f>
        <v>0</v>
      </c>
      <c r="F67" s="53" t="s">
        <v>1289</v>
      </c>
      <c r="G67" s="51">
        <f>M67</f>
        <v>0</v>
      </c>
      <c r="H67" s="52">
        <f>COUNTIFS('Self-Assessment Questionnaire'!$I$16:$I$268,$C$67, 'Self-Assessment Questionnaire'!$H$16:$H$268,$D67,'Self-Assessment Questionnaire'!$G$16:$G$268,H$11)</f>
        <v>0</v>
      </c>
      <c r="I67" s="53" t="s">
        <v>1289</v>
      </c>
      <c r="J67" s="51">
        <f>M67</f>
        <v>0</v>
      </c>
      <c r="K67" s="52">
        <f>COUNTIFS('Self-Assessment Questionnaire'!$I$16:$I$268,$C$67, 'Self-Assessment Questionnaire'!$H$16:$H$268,$D67,'Self-Assessment Questionnaire'!$G$16:$G$268,K$11)</f>
        <v>0</v>
      </c>
      <c r="L67" s="53" t="s">
        <v>1289</v>
      </c>
      <c r="M67" s="51">
        <f>COUNTIFS('Self-Assessment Questionnaire'!$I$16:$I$268,$C$67, 'Self-Assessment Questionnaire'!$H$16:$H$268,$D67)</f>
        <v>0</v>
      </c>
      <c r="O67" s="435" t="str">
        <f>FX!$C$76</f>
        <v>Essential</v>
      </c>
      <c r="P67" s="436"/>
      <c r="Q67" s="63" t="str">
        <f>IF(G67=0,FX!$C$103,((E67+K67)/G67))</f>
        <v>-</v>
      </c>
      <c r="R67" s="54">
        <f>IF(G67=0,0,Q67)</f>
        <v>0</v>
      </c>
      <c r="S67" s="63">
        <f>IF(G67=0,0,IF(Q67&gt;0,100%-Q67,0))</f>
        <v>0</v>
      </c>
      <c r="U67" s="21" t="s">
        <v>1290</v>
      </c>
      <c r="V67" s="55" t="str">
        <f>CONCATENATE(FX!E67,FX!U67,FX!G67)</f>
        <v>0 / 0</v>
      </c>
      <c r="W67" s="56" t="str">
        <f>CONCATENATE(FX!H67,FX!U67,FX!J67)</f>
        <v>0 / 0</v>
      </c>
      <c r="X67" s="56" t="str">
        <f>CONCATENATE(FX!K67,FX!U67,FX!M67)</f>
        <v>0 / 0</v>
      </c>
    </row>
    <row r="68" spans="3:24">
      <c r="C68" s="438"/>
      <c r="D68" s="51" t="str">
        <f>FX!$C$77</f>
        <v>Intermediate</v>
      </c>
      <c r="E68" s="52">
        <f>COUNTIFS('Self-Assessment Questionnaire'!$I$16:$I$268,$C$67, 'Self-Assessment Questionnaire'!$H$16:$H$268,$D68,'Self-Assessment Questionnaire'!$G$16:$G$268,E$11)</f>
        <v>0</v>
      </c>
      <c r="F68" s="53" t="s">
        <v>1289</v>
      </c>
      <c r="G68" s="51">
        <f>M68</f>
        <v>0</v>
      </c>
      <c r="H68" s="52">
        <f>COUNTIFS('Self-Assessment Questionnaire'!$I$16:$I$268,$C$67, 'Self-Assessment Questionnaire'!$H$16:$H$268,$D68,'Self-Assessment Questionnaire'!$G$16:$G$268,H$11)</f>
        <v>0</v>
      </c>
      <c r="I68" s="53" t="s">
        <v>1289</v>
      </c>
      <c r="J68" s="51">
        <f>M68</f>
        <v>0</v>
      </c>
      <c r="K68" s="52">
        <f>COUNTIFS('Self-Assessment Questionnaire'!$I$16:$I$268,$C$67, 'Self-Assessment Questionnaire'!$H$16:$H$268,$D68,'Self-Assessment Questionnaire'!$G$16:$G$268,K$11)</f>
        <v>0</v>
      </c>
      <c r="L68" s="53" t="s">
        <v>1289</v>
      </c>
      <c r="M68" s="51">
        <f>COUNTIFS('Self-Assessment Questionnaire'!$I$16:$I$268,$C$67, 'Self-Assessment Questionnaire'!$H$16:$H$268,$D68)</f>
        <v>0</v>
      </c>
      <c r="O68" s="435" t="str">
        <f>FX!$C$77</f>
        <v>Intermediate</v>
      </c>
      <c r="P68" s="436"/>
      <c r="Q68" s="63" t="str">
        <f>IF(G68=0,FX!$C$103,((E68+K68)/G68))</f>
        <v>-</v>
      </c>
      <c r="R68" s="54">
        <f>IF(G68=0,0,Q68)</f>
        <v>0</v>
      </c>
      <c r="S68" s="63">
        <f>IF(G68=0,0,IF(Q68&gt;0,100%-Q68,0))</f>
        <v>0</v>
      </c>
      <c r="U68" s="21" t="s">
        <v>1290</v>
      </c>
      <c r="V68" s="55" t="str">
        <f>CONCATENATE(FX!E68,FX!U68,FX!G68)</f>
        <v>0 / 0</v>
      </c>
      <c r="W68" s="56" t="str">
        <f>CONCATENATE(FX!H68,FX!U68,FX!J68)</f>
        <v>0 / 0</v>
      </c>
      <c r="X68" s="56" t="str">
        <f>CONCATENATE(FX!K68,FX!U68,FX!M68)</f>
        <v>0 / 0</v>
      </c>
    </row>
    <row r="69" spans="3:24">
      <c r="C69" s="438"/>
      <c r="D69" s="51" t="str">
        <f>FX!$C$78</f>
        <v>Advanced</v>
      </c>
      <c r="E69" s="52">
        <f>COUNTIFS('Self-Assessment Questionnaire'!$I$16:$I$268,$C$67, 'Self-Assessment Questionnaire'!$H$16:$H$268,$D69,'Self-Assessment Questionnaire'!$G$16:$G$268,E$11)</f>
        <v>0</v>
      </c>
      <c r="F69" s="53" t="s">
        <v>1289</v>
      </c>
      <c r="G69" s="51">
        <f>M69</f>
        <v>0</v>
      </c>
      <c r="H69" s="52">
        <f>COUNTIFS('Self-Assessment Questionnaire'!$I$16:$I$268,$C$67, 'Self-Assessment Questionnaire'!$H$16:$H$268,$D69,'Self-Assessment Questionnaire'!$G$16:$G$268,H$11)</f>
        <v>0</v>
      </c>
      <c r="I69" s="53" t="s">
        <v>1289</v>
      </c>
      <c r="J69" s="51">
        <f>M69</f>
        <v>0</v>
      </c>
      <c r="K69" s="52">
        <f>COUNTIFS('Self-Assessment Questionnaire'!$I$16:$I$268,$C$67, 'Self-Assessment Questionnaire'!$H$16:$H$268,$D69,'Self-Assessment Questionnaire'!$G$16:$G$268,K$11)</f>
        <v>0</v>
      </c>
      <c r="L69" s="53" t="s">
        <v>1289</v>
      </c>
      <c r="M69" s="51">
        <f>COUNTIFS('Self-Assessment Questionnaire'!$I$16:$I$268,$C$67, 'Self-Assessment Questionnaire'!$H$16:$H$268,$D69)</f>
        <v>0</v>
      </c>
      <c r="O69" s="435" t="str">
        <f>FX!$C$78</f>
        <v>Advanced</v>
      </c>
      <c r="P69" s="436"/>
      <c r="Q69" s="63" t="str">
        <f>IF(G69=0,FX!$C$103,((E69+K69)/G69))</f>
        <v>-</v>
      </c>
      <c r="R69" s="54">
        <f>IF(G69=0,0,Q69)</f>
        <v>0</v>
      </c>
      <c r="S69" s="63">
        <f>IF(G69=0,0,IF(Q69&gt;0,100%-Q69,0))</f>
        <v>0</v>
      </c>
      <c r="U69" s="21" t="s">
        <v>1290</v>
      </c>
      <c r="V69" s="55" t="str">
        <f>CONCATENATE(FX!E69,FX!U69,FX!G69)</f>
        <v>0 / 0</v>
      </c>
      <c r="W69" s="56" t="str">
        <f>CONCATENATE(FX!H69,FX!U69,FX!J69)</f>
        <v>0 / 0</v>
      </c>
      <c r="X69" s="56" t="str">
        <f>CONCATENATE(FX!K69,FX!U69,FX!M69)</f>
        <v>0 / 0</v>
      </c>
    </row>
    <row r="70" spans="3:24" ht="15" thickBot="1">
      <c r="C70" s="439"/>
      <c r="D70" s="51" t="str">
        <f>FX!$C$79</f>
        <v>Not Applicable</v>
      </c>
      <c r="E70" s="52">
        <f>COUNTIFS('Self-Assessment Questionnaire'!$I$16:$I$268,$C$67, 'Self-Assessment Questionnaire'!$H$16:$H$268,$D70)</f>
        <v>0</v>
      </c>
      <c r="F70" s="51" t="s">
        <v>1291</v>
      </c>
      <c r="G70" s="52"/>
      <c r="H70" s="52"/>
      <c r="I70" s="52"/>
      <c r="J70" s="52"/>
      <c r="K70" s="52"/>
      <c r="L70" s="52"/>
      <c r="M70" s="52"/>
      <c r="O70" s="435" t="str">
        <f>FX!$C$79</f>
        <v>Not Applicable</v>
      </c>
      <c r="P70" s="436"/>
      <c r="Q70" s="63" t="str">
        <f>IF(SUM(K67:K69)=0,C101,(SUM(K67:K69)/(SUM(M67:M69))))</f>
        <v>All</v>
      </c>
      <c r="R70" s="54">
        <f>IF(G70=0,0,Q70)</f>
        <v>0</v>
      </c>
      <c r="S70" s="63">
        <f>IF(G70=0,0,IF(Q70&gt;0,100%-Q70,0))</f>
        <v>0</v>
      </c>
      <c r="V70" s="55" t="str">
        <f>CONCATENATE(FX!E70,FX!U70,FX!G70)</f>
        <v>0</v>
      </c>
      <c r="W70" s="56" t="str">
        <f>CONCATENATE(FX!H70,FX!U70,FX!J70)</f>
        <v/>
      </c>
      <c r="X70" s="56" t="str">
        <f>CONCATENATE(FX!K70,FX!U70,FX!M70)</f>
        <v/>
      </c>
    </row>
    <row r="74" spans="3:24">
      <c r="C74" s="64" t="s">
        <v>1292</v>
      </c>
    </row>
    <row r="75" spans="3:24">
      <c r="C75" s="65"/>
    </row>
    <row r="76" spans="3:24">
      <c r="C76" s="66" t="s">
        <v>663</v>
      </c>
    </row>
    <row r="77" spans="3:24">
      <c r="C77" s="66" t="s">
        <v>1293</v>
      </c>
    </row>
    <row r="78" spans="3:24">
      <c r="C78" s="66" t="s">
        <v>1294</v>
      </c>
    </row>
    <row r="79" spans="3:24">
      <c r="C79" s="66" t="s">
        <v>1279</v>
      </c>
    </row>
    <row r="80" spans="3:24">
      <c r="C80" s="65"/>
    </row>
    <row r="81" spans="3:3">
      <c r="C81" s="65" t="s">
        <v>1295</v>
      </c>
    </row>
    <row r="82" spans="3:3">
      <c r="C82" s="67" t="s">
        <v>664</v>
      </c>
    </row>
    <row r="83" spans="3:3">
      <c r="C83" s="66" t="s">
        <v>715</v>
      </c>
    </row>
    <row r="84" spans="3:3">
      <c r="C84" s="66" t="s">
        <v>732</v>
      </c>
    </row>
    <row r="85" spans="3:3">
      <c r="C85" s="66" t="s">
        <v>762</v>
      </c>
    </row>
    <row r="86" spans="3:3">
      <c r="C86" s="66" t="s">
        <v>785</v>
      </c>
    </row>
    <row r="87" spans="3:3">
      <c r="C87" s="66" t="s">
        <v>812</v>
      </c>
    </row>
    <row r="88" spans="3:3">
      <c r="C88" s="66" t="s">
        <v>821</v>
      </c>
    </row>
    <row r="89" spans="3:3">
      <c r="C89" s="66" t="s">
        <v>828</v>
      </c>
    </row>
    <row r="90" spans="3:3">
      <c r="C90" s="66" t="s">
        <v>1</v>
      </c>
    </row>
    <row r="91" spans="3:3">
      <c r="C91" s="66" t="s">
        <v>885</v>
      </c>
    </row>
    <row r="92" spans="3:3">
      <c r="C92" s="66" t="s">
        <v>899</v>
      </c>
    </row>
    <row r="93" spans="3:3">
      <c r="C93" s="66" t="s">
        <v>971</v>
      </c>
    </row>
    <row r="94" spans="3:3">
      <c r="C94" s="65"/>
    </row>
    <row r="95" spans="3:3">
      <c r="C95" s="65" t="s">
        <v>1296</v>
      </c>
    </row>
    <row r="96" spans="3:3">
      <c r="C96" s="66" t="s">
        <v>662</v>
      </c>
    </row>
    <row r="97" spans="1:3">
      <c r="C97" s="66" t="s">
        <v>740</v>
      </c>
    </row>
    <row r="98" spans="1:3">
      <c r="C98" s="66" t="s">
        <v>1297</v>
      </c>
    </row>
    <row r="99" spans="1:3">
      <c r="C99" s="65"/>
    </row>
    <row r="100" spans="1:3">
      <c r="C100" s="65" t="s">
        <v>1298</v>
      </c>
    </row>
    <row r="101" spans="1:3">
      <c r="C101" s="66" t="s">
        <v>1299</v>
      </c>
    </row>
    <row r="102" spans="1:3">
      <c r="C102" s="66" t="s">
        <v>1300</v>
      </c>
    </row>
    <row r="103" spans="1:3">
      <c r="C103" s="66" t="s">
        <v>1301</v>
      </c>
    </row>
    <row r="104" spans="1:3">
      <c r="C104" s="65"/>
    </row>
    <row r="105" spans="1:3">
      <c r="A105" s="68"/>
      <c r="B105" s="19" t="s">
        <v>1302</v>
      </c>
      <c r="C105" s="65" t="s">
        <v>1303</v>
      </c>
    </row>
    <row r="106" spans="1:3">
      <c r="A106" s="68"/>
      <c r="B106" s="68">
        <v>1</v>
      </c>
      <c r="C106" s="66" t="s">
        <v>1304</v>
      </c>
    </row>
    <row r="107" spans="1:3">
      <c r="B107" s="68" t="s">
        <v>1305</v>
      </c>
      <c r="C107" s="66" t="s">
        <v>1306</v>
      </c>
    </row>
    <row r="108" spans="1:3">
      <c r="B108" s="68" t="s">
        <v>1307</v>
      </c>
      <c r="C108" s="66" t="s">
        <v>1308</v>
      </c>
    </row>
    <row r="109" spans="1:3">
      <c r="B109" s="68"/>
      <c r="C109" s="65"/>
    </row>
    <row r="110" spans="1:3">
      <c r="B110" s="68"/>
      <c r="C110" s="65" t="s">
        <v>1309</v>
      </c>
    </row>
    <row r="111" spans="1:3">
      <c r="B111" s="68"/>
      <c r="C111" s="66" t="s">
        <v>1310</v>
      </c>
    </row>
    <row r="112" spans="1:3">
      <c r="B112" s="68"/>
      <c r="C112" s="66" t="s">
        <v>1282</v>
      </c>
    </row>
    <row r="113" spans="2:16">
      <c r="B113" s="68"/>
      <c r="C113" s="66" t="s">
        <v>1283</v>
      </c>
    </row>
    <row r="114" spans="2:16">
      <c r="C114" s="66" t="s">
        <v>1284</v>
      </c>
    </row>
    <row r="115" spans="2:16">
      <c r="C115" s="65"/>
    </row>
    <row r="116" spans="2:16">
      <c r="B116" s="19" t="s">
        <v>1302</v>
      </c>
      <c r="C116" s="65" t="s">
        <v>1311</v>
      </c>
    </row>
    <row r="117" spans="2:16">
      <c r="B117" s="19" t="str">
        <f>C111</f>
        <v>White</v>
      </c>
      <c r="C117" s="66" t="s">
        <v>1312</v>
      </c>
      <c r="D117" s="19" t="s">
        <v>663</v>
      </c>
      <c r="F117" s="24" t="s">
        <v>1313</v>
      </c>
      <c r="G117" s="69" t="str">
        <f>IF('Performance SAI'!C20=FX!B117,FX!C117,"")</f>
        <v/>
      </c>
      <c r="H117" s="69"/>
      <c r="I117" s="24"/>
      <c r="J117" s="24"/>
      <c r="K117" s="24"/>
      <c r="L117" s="24"/>
      <c r="M117" s="24"/>
      <c r="N117" s="24"/>
    </row>
    <row r="119" spans="2:16">
      <c r="B119" s="19" t="str">
        <f>C111</f>
        <v>White</v>
      </c>
      <c r="C119" s="66" t="s">
        <v>1314</v>
      </c>
      <c r="D119" s="19" t="s">
        <v>1293</v>
      </c>
      <c r="F119" s="24" t="s">
        <v>1313</v>
      </c>
      <c r="G119" s="69" t="str">
        <f>IF('Performance SAI'!C20=FX!B119,FX!C119,IF('Performance SAI'!C20=FX!B120,FX!C120,IF('Performance SAI'!C20=FX!B121,FX!C121,"")))</f>
        <v/>
      </c>
      <c r="H119" s="70"/>
      <c r="I119" s="24"/>
      <c r="J119" s="24"/>
      <c r="K119" s="24"/>
      <c r="L119" s="24"/>
      <c r="M119" s="24"/>
      <c r="N119" s="24"/>
    </row>
    <row r="120" spans="2:16" ht="15.75" customHeight="1">
      <c r="B120" s="19" t="str">
        <f>C112</f>
        <v>Bronze</v>
      </c>
      <c r="C120" s="66" t="s">
        <v>1315</v>
      </c>
      <c r="D120" s="19" t="s">
        <v>1293</v>
      </c>
    </row>
    <row r="121" spans="2:16">
      <c r="B121" s="19" t="str">
        <f>C113</f>
        <v>Silver</v>
      </c>
      <c r="C121" s="66" t="s">
        <v>1316</v>
      </c>
      <c r="D121" s="19" t="s">
        <v>1293</v>
      </c>
    </row>
    <row r="123" spans="2:16" ht="15.75" customHeight="1">
      <c r="B123" s="19" t="str">
        <f>C112</f>
        <v>Bronze</v>
      </c>
      <c r="C123" s="66" t="s">
        <v>1317</v>
      </c>
      <c r="D123" s="19" t="s">
        <v>1294</v>
      </c>
      <c r="F123" s="24" t="s">
        <v>1313</v>
      </c>
      <c r="G123" s="442" t="str">
        <f>IF('Performance SAI'!C20=FX!B123,FX!C123,IF('Performance SAI'!C20=FX!B124,FX!C124,""))</f>
        <v/>
      </c>
      <c r="H123" s="442"/>
      <c r="I123" s="442"/>
      <c r="J123" s="442"/>
      <c r="K123" s="442"/>
      <c r="L123" s="442"/>
      <c r="M123" s="442"/>
      <c r="N123" s="442"/>
    </row>
    <row r="124" spans="2:16">
      <c r="B124" s="19" t="str">
        <f>C113</f>
        <v>Silver</v>
      </c>
      <c r="C124" s="66" t="s">
        <v>1318</v>
      </c>
      <c r="D124" s="19" t="s">
        <v>1294</v>
      </c>
    </row>
    <row r="126" spans="2:16">
      <c r="C126" s="19" t="s">
        <v>1319</v>
      </c>
      <c r="F126" s="71"/>
      <c r="G126" s="71" t="s">
        <v>663</v>
      </c>
      <c r="H126" s="71"/>
      <c r="I126" s="72"/>
      <c r="J126" s="73" t="s">
        <v>1293</v>
      </c>
      <c r="K126" s="73"/>
      <c r="L126" s="74"/>
      <c r="M126" s="74" t="s">
        <v>1294</v>
      </c>
      <c r="N126" s="74"/>
    </row>
    <row r="127" spans="2:16">
      <c r="F127" s="71" t="s">
        <v>1320</v>
      </c>
      <c r="G127" s="71"/>
      <c r="H127" s="71" t="s">
        <v>1321</v>
      </c>
      <c r="I127" s="73" t="s">
        <v>1320</v>
      </c>
      <c r="J127" s="73"/>
      <c r="K127" s="73" t="s">
        <v>1321</v>
      </c>
      <c r="L127" s="74" t="s">
        <v>1320</v>
      </c>
      <c r="M127" s="74"/>
      <c r="N127" s="74" t="s">
        <v>1321</v>
      </c>
      <c r="P127" s="19" t="s">
        <v>1322</v>
      </c>
    </row>
    <row r="128" spans="2:16">
      <c r="B128" s="19">
        <v>1</v>
      </c>
      <c r="C128" s="66" t="s">
        <v>1323</v>
      </c>
      <c r="D128" s="19" t="s">
        <v>1324</v>
      </c>
      <c r="E128" s="75" t="s">
        <v>1325</v>
      </c>
      <c r="F128" s="76">
        <f>$G$6</f>
        <v>1</v>
      </c>
      <c r="G128" s="77" t="s">
        <v>1326</v>
      </c>
      <c r="H128" s="77">
        <v>1</v>
      </c>
      <c r="I128" s="77"/>
      <c r="J128" s="77"/>
      <c r="K128" s="77"/>
      <c r="L128" s="77"/>
      <c r="M128" s="77"/>
      <c r="N128" s="78"/>
      <c r="O128" s="21"/>
      <c r="P128" s="21" t="str">
        <f>C111</f>
        <v>White</v>
      </c>
    </row>
    <row r="129" spans="2:16">
      <c r="B129" s="19">
        <v>2</v>
      </c>
      <c r="C129" s="66" t="s">
        <v>1327</v>
      </c>
      <c r="F129" s="76"/>
      <c r="G129" s="77"/>
      <c r="H129" s="77"/>
      <c r="I129" s="77">
        <f t="shared" ref="I129:I134" si="0">$G$7</f>
        <v>1</v>
      </c>
      <c r="J129" s="77" t="s">
        <v>1326</v>
      </c>
      <c r="K129" s="77">
        <v>0.4</v>
      </c>
      <c r="L129" s="77"/>
      <c r="M129" s="77"/>
      <c r="N129" s="78"/>
      <c r="O129" s="21"/>
      <c r="P129" s="21" t="str">
        <f>C111</f>
        <v>White</v>
      </c>
    </row>
    <row r="130" spans="2:16">
      <c r="B130" s="19">
        <v>3</v>
      </c>
      <c r="C130" s="66" t="s">
        <v>1328</v>
      </c>
      <c r="F130" s="76"/>
      <c r="G130" s="77"/>
      <c r="H130" s="77"/>
      <c r="I130" s="77">
        <f t="shared" si="0"/>
        <v>1</v>
      </c>
      <c r="J130" s="77" t="s">
        <v>1329</v>
      </c>
      <c r="K130" s="77">
        <v>0.4</v>
      </c>
      <c r="L130" s="77"/>
      <c r="M130" s="77"/>
      <c r="N130" s="78"/>
      <c r="O130" s="21"/>
      <c r="P130" s="21" t="str">
        <f>C111</f>
        <v>White</v>
      </c>
    </row>
    <row r="131" spans="2:16">
      <c r="B131" s="19">
        <v>4</v>
      </c>
      <c r="C131" s="66" t="s">
        <v>1330</v>
      </c>
      <c r="F131" s="76"/>
      <c r="G131" s="77"/>
      <c r="H131" s="77"/>
      <c r="I131" s="77">
        <f t="shared" si="0"/>
        <v>1</v>
      </c>
      <c r="J131" s="77" t="s">
        <v>1326</v>
      </c>
      <c r="K131" s="77">
        <v>0.75</v>
      </c>
      <c r="L131" s="77"/>
      <c r="M131" s="77"/>
      <c r="N131" s="78"/>
      <c r="O131" s="21"/>
      <c r="P131" s="21" t="str">
        <f>C112</f>
        <v>Bronze</v>
      </c>
    </row>
    <row r="132" spans="2:16">
      <c r="B132" s="19">
        <v>5</v>
      </c>
      <c r="C132" s="66" t="s">
        <v>1331</v>
      </c>
      <c r="F132" s="76"/>
      <c r="G132" s="77"/>
      <c r="H132" s="77"/>
      <c r="I132" s="77"/>
      <c r="J132" s="77"/>
      <c r="K132" s="77"/>
      <c r="L132" s="77">
        <f>$G$8</f>
        <v>1</v>
      </c>
      <c r="M132" s="77" t="s">
        <v>1326</v>
      </c>
      <c r="N132" s="78">
        <v>0.4</v>
      </c>
      <c r="O132" s="21"/>
      <c r="P132" s="21" t="str">
        <f>C112</f>
        <v>Bronze</v>
      </c>
    </row>
    <row r="133" spans="2:16">
      <c r="B133" s="19">
        <v>6</v>
      </c>
      <c r="C133" s="66" t="s">
        <v>1332</v>
      </c>
      <c r="F133" s="76"/>
      <c r="G133" s="77"/>
      <c r="H133" s="77"/>
      <c r="I133" s="77"/>
      <c r="J133" s="77"/>
      <c r="K133" s="77"/>
      <c r="L133" s="77">
        <f>$G$8</f>
        <v>1</v>
      </c>
      <c r="M133" s="77" t="s">
        <v>1326</v>
      </c>
      <c r="N133" s="78">
        <v>0.5</v>
      </c>
      <c r="O133" s="21"/>
      <c r="P133" s="21" t="str">
        <f>C112</f>
        <v>Bronze</v>
      </c>
    </row>
    <row r="134" spans="2:16">
      <c r="B134" s="19">
        <v>7</v>
      </c>
      <c r="C134" s="66" t="s">
        <v>1333</v>
      </c>
      <c r="F134" s="76"/>
      <c r="G134" s="77"/>
      <c r="H134" s="77"/>
      <c r="I134" s="77">
        <f t="shared" si="0"/>
        <v>1</v>
      </c>
      <c r="J134" s="77" t="s">
        <v>1326</v>
      </c>
      <c r="K134" s="77">
        <v>1</v>
      </c>
      <c r="L134" s="77"/>
      <c r="M134" s="77"/>
      <c r="N134" s="78"/>
      <c r="O134" s="21"/>
      <c r="P134" s="21" t="str">
        <f>C113</f>
        <v>Silver</v>
      </c>
    </row>
    <row r="135" spans="2:16">
      <c r="B135" s="19">
        <v>8</v>
      </c>
      <c r="C135" s="66" t="s">
        <v>1334</v>
      </c>
      <c r="F135" s="76"/>
      <c r="G135" s="77"/>
      <c r="H135" s="77"/>
      <c r="I135" s="77"/>
      <c r="J135" s="77"/>
      <c r="K135" s="77"/>
      <c r="L135" s="77">
        <f>$G$8</f>
        <v>1</v>
      </c>
      <c r="M135" s="77" t="s">
        <v>1326</v>
      </c>
      <c r="N135" s="78">
        <v>0.65</v>
      </c>
      <c r="O135" s="21"/>
      <c r="P135" s="21" t="str">
        <f>C113</f>
        <v>Silver</v>
      </c>
    </row>
    <row r="136" spans="2:16">
      <c r="B136" s="19">
        <v>9</v>
      </c>
      <c r="C136" s="66" t="s">
        <v>1335</v>
      </c>
      <c r="F136" s="76"/>
      <c r="G136" s="77"/>
      <c r="H136" s="77"/>
      <c r="I136" s="77"/>
      <c r="J136" s="77"/>
      <c r="K136" s="77"/>
      <c r="L136" s="77">
        <f>$G$8</f>
        <v>1</v>
      </c>
      <c r="M136" s="77" t="s">
        <v>1336</v>
      </c>
      <c r="N136" s="78">
        <v>0.65</v>
      </c>
      <c r="O136" s="21"/>
      <c r="P136" s="21" t="str">
        <f>C113</f>
        <v>Silver</v>
      </c>
    </row>
    <row r="137" spans="2:16">
      <c r="B137" s="19">
        <v>10</v>
      </c>
      <c r="C137" s="66" t="s">
        <v>1337</v>
      </c>
      <c r="F137" s="76"/>
      <c r="G137" s="77"/>
      <c r="H137" s="77"/>
      <c r="I137" s="77"/>
      <c r="J137" s="77"/>
      <c r="K137" s="77"/>
      <c r="L137" s="77"/>
      <c r="M137" s="77"/>
      <c r="N137" s="78"/>
      <c r="O137" s="21"/>
      <c r="P137" s="21" t="str">
        <f>C114</f>
        <v>Gold</v>
      </c>
    </row>
    <row r="140" spans="2:16">
      <c r="F140" s="24" t="s">
        <v>1313</v>
      </c>
      <c r="G140" s="24" t="str">
        <f xml:space="preserve">
IF(F128&lt;H128,_xlfn.CONCAT(C128),
IF(I129&lt;K129,_xlfn.CONCAT(C129),
IF(I130&gt;K130,_xlfn.CONCAT(F130,
IF(I131&lt;K131,_xlfn.CONCAT(C131),
IF(L132&lt;N132,_xlfn.CONCAT(C132),
IF(L133&lt;N133,_xlfn.CONCAT(C133),
IF(I134&lt;K134,_xlfn.CONCAT(C134),
IF(L135&lt;N135,_xlfn.CONCAT(C135),
IF(L136&gt;=N136,_xlfn.CONCAT(C136),
_xlfn.CONCAT(C137)))))))))))</f>
        <v>…You’ve almost reached gold level!</v>
      </c>
      <c r="I140" s="24"/>
      <c r="J140" s="24"/>
      <c r="K140" s="24"/>
      <c r="L140" s="24"/>
      <c r="M140" s="24"/>
      <c r="N140" s="24"/>
    </row>
  </sheetData>
  <dataConsolidate/>
  <mergeCells count="68">
    <mergeCell ref="G123:N123"/>
    <mergeCell ref="C3:P3"/>
    <mergeCell ref="C4:P4"/>
    <mergeCell ref="C10:P10"/>
    <mergeCell ref="C11:D11"/>
    <mergeCell ref="E11:G11"/>
    <mergeCell ref="H11:J11"/>
    <mergeCell ref="K11:M11"/>
    <mergeCell ref="O11:P11"/>
    <mergeCell ref="O30:P30"/>
    <mergeCell ref="C12:C15"/>
    <mergeCell ref="O12:P12"/>
    <mergeCell ref="O13:P13"/>
    <mergeCell ref="O14:P14"/>
    <mergeCell ref="O15:P15"/>
    <mergeCell ref="C17:C20"/>
    <mergeCell ref="O17:P17"/>
    <mergeCell ref="O18:P18"/>
    <mergeCell ref="O19:P19"/>
    <mergeCell ref="O20:P20"/>
    <mergeCell ref="C22:C25"/>
    <mergeCell ref="O22:P22"/>
    <mergeCell ref="O23:P23"/>
    <mergeCell ref="O24:P24"/>
    <mergeCell ref="O25:P25"/>
    <mergeCell ref="O34:P34"/>
    <mergeCell ref="O35:P35"/>
    <mergeCell ref="C37:C40"/>
    <mergeCell ref="O37:P37"/>
    <mergeCell ref="O38:P38"/>
    <mergeCell ref="O39:P39"/>
    <mergeCell ref="O40:P40"/>
    <mergeCell ref="C27:C30"/>
    <mergeCell ref="O27:P27"/>
    <mergeCell ref="O28:P28"/>
    <mergeCell ref="C47:C50"/>
    <mergeCell ref="O47:P47"/>
    <mergeCell ref="O48:P48"/>
    <mergeCell ref="O49:P49"/>
    <mergeCell ref="O50:P50"/>
    <mergeCell ref="C42:C45"/>
    <mergeCell ref="O42:P42"/>
    <mergeCell ref="O43:P43"/>
    <mergeCell ref="O44:P44"/>
    <mergeCell ref="O45:P45"/>
    <mergeCell ref="C32:C35"/>
    <mergeCell ref="O32:P32"/>
    <mergeCell ref="O33:P33"/>
    <mergeCell ref="C57:C60"/>
    <mergeCell ref="O57:P57"/>
    <mergeCell ref="O58:P58"/>
    <mergeCell ref="O59:P59"/>
    <mergeCell ref="O60:P60"/>
    <mergeCell ref="C52:C55"/>
    <mergeCell ref="O52:P52"/>
    <mergeCell ref="O53:P53"/>
    <mergeCell ref="O54:P54"/>
    <mergeCell ref="O55:P55"/>
    <mergeCell ref="C67:C70"/>
    <mergeCell ref="O67:P67"/>
    <mergeCell ref="O68:P68"/>
    <mergeCell ref="O69:P69"/>
    <mergeCell ref="O70:P70"/>
    <mergeCell ref="C62:C65"/>
    <mergeCell ref="O62:P62"/>
    <mergeCell ref="O63:P63"/>
    <mergeCell ref="O64:P64"/>
    <mergeCell ref="O65:P65"/>
  </mergeCells>
  <conditionalFormatting sqref="Q3:R3 U3 C5">
    <cfRule type="containsText" dxfId="23" priority="1" operator="containsText" text="Gold">
      <formula>NOT(ISERROR(SEARCH("Gold",C3)))</formula>
    </cfRule>
    <cfRule type="containsText" dxfId="22" priority="2" operator="containsText" text="Silver">
      <formula>NOT(ISERROR(SEARCH("Silver",C3)))</formula>
    </cfRule>
    <cfRule type="containsText" dxfId="21" priority="3" operator="containsText" text="Yet">
      <formula>NOT(ISERROR(SEARCH("Yet",C3)))</formula>
    </cfRule>
    <cfRule type="containsText" dxfId="20" priority="4" operator="containsText" text="Bronze">
      <formula>NOT(ISERROR(SEARCH("Bronze",C3)))</formula>
    </cfRule>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B1:I3"/>
  <sheetViews>
    <sheetView workbookViewId="0">
      <selection activeCell="B4" sqref="B4"/>
    </sheetView>
  </sheetViews>
  <sheetFormatPr defaultRowHeight="14.5"/>
  <cols>
    <col min="1" max="1" width="1.36328125" customWidth="1"/>
  </cols>
  <sheetData>
    <row r="1" spans="2:9" ht="8" customHeight="1" thickBot="1"/>
    <row r="2" spans="2:9" ht="19.5" customHeight="1">
      <c r="B2" s="462" t="s">
        <v>1754</v>
      </c>
      <c r="C2" s="463"/>
      <c r="D2" s="463"/>
      <c r="E2" s="463"/>
      <c r="F2" s="463"/>
      <c r="G2" s="463"/>
      <c r="H2" s="463"/>
      <c r="I2" s="464"/>
    </row>
    <row r="3" spans="2:9" ht="52" customHeight="1" thickBot="1">
      <c r="B3" s="465" t="str">
        <f>IF(
AND(
COUNTIFS('Checklist 2026'!F19:F36,"Não")+COUNTIFS('Checklist 2026'!F38:F46,"Não")+COUNTIFS('Checklist 2026'!F48:F57,"Não")+COUNTIFS('Checklist 2026'!F59:F70,"Não")+COUNTIFS('Checklist 2026'!F72:F79,"Não")+COUNTIFS('Checklist 2026'!F81:F83,"Não")+COUNTIFS('Checklist 2026'!F85:F94,"Não")+COUNTIFS('Checklist 2026'!F96:F105,"Não")&lt;=4,
COUNTIFS('Checklist 2026'!F19:F36,"Não")+COUNTIFS('Checklist 2026'!F38:F46,"Não")&lt;=3,
'Checklist 2026'!F23&lt;&gt;"Não",'Checklist 2026'!F24&lt;&gt;"Não",'Checklist 2026'!F26&lt;&gt;"Não",'Checklist 2026'!F31&lt;&gt;"Não",'Checklist 2026'!F36&lt;&gt;"Não",'Checklist 2026'!F44&lt;&gt;"Não",
'Checklist 2026'!F19&lt;&gt;"Não",'Checklist 2026'!F20&lt;&gt;"Não",'Checklist 2026'!F21&lt;&gt;"Não",'Checklist 2026'!F22&lt;&gt;"Não",'Checklist 2026'!F25&lt;&gt;"Não",'Checklist 2026'!F30&lt;&gt;"Não",'Checklist 2026'!F32&lt;&gt;"Não",'Checklist 2026'!F34&lt;&gt;"Não",'Checklist 2026'!F35&lt;&gt;"Não",
'Checklist 2026'!F38&lt;&gt;"Não",'Checklist 2026'!F40&lt;&gt;"Não",'Checklist 2026'!F41&lt;&gt;"Não",'Checklist 2026'!F42&lt;&gt;"Não",'Checklist 2026'!F45&lt;&gt;"Não",'Checklist 2026'!F46&lt;&gt;"Não",
'Checklist 2026'!F49&lt;&gt;"Não",'Checklist 2026'!F51&lt;&gt;"Não",'Checklist 2026'!F52&lt;&gt;"Não",'Checklist 2026'!F57&lt;&gt;"Não",'Checklist 2026'!F60&lt;&gt;"Não",'Checklist 2026'!F61&lt;&gt;"Não",'Checklist 2026'!F64&lt;&gt;"Não",
'Checklist 2026'!F73&lt;&gt;"Não",'Checklist 2026'!F81&lt;&gt;"Não",'Checklist 2026'!F82&lt;&gt;"Não",'Checklist 2026'!F83&lt;&gt;"Não",
'Checklist 2026'!F87&lt;&gt;"Não",'Checklist 2026'!F92&lt;&gt;"Não",'Checklist 2026'!F96&lt;&gt;"Não",'Checklist 2026'!F100&lt;&gt;"Não",'Checklist 2026'!F105&lt;&gt;"Não"
),
"Nível V",
IF(
AND(
COUNTIFS('Checklist 2026'!F19:F36,"Não")+COUNTIFS('Checklist 2026'!F38:F46,"Não")+COUNTIFS('Checklist 2026'!F48:F57,"Não")+COUNTIFS('Checklist 2026'!F59:F70,"Não")+COUNTIFS('Checklist 2026'!F72:F79,"Não")+COUNTIFS('Checklist 2026'!F81:F83,"Não")&lt;=4,
COUNTIFS('Checklist 2026'!F19:F36,"Não")+COUNTIFS('Checklist 2026'!F38:F46,"Não")&lt;=3,
'Checklist 2026'!F23&lt;&gt;"Não",'Checklist 2026'!F24&lt;&gt;"Não",'Checklist 2026'!F26&lt;&gt;"Não",'Checklist 2026'!F31&lt;&gt;"Não",'Checklist 2026'!F36&lt;&gt;"Não",'Checklist 2026'!F44&lt;&gt;"Não",
'Checklist 2026'!F19&lt;&gt;"Não",'Checklist 2026'!F20&lt;&gt;"Não",'Checklist 2026'!F21&lt;&gt;"Não",'Checklist 2026'!F22&lt;&gt;"Não",'Checklist 2026'!F25&lt;&gt;"Não",'Checklist 2026'!F30&lt;&gt;"Não",'Checklist 2026'!F32&lt;&gt;"Não",'Checklist 2026'!F34&lt;&gt;"Não",'Checklist 2026'!F35&lt;&gt;"Não",
'Checklist 2026'!F38&lt;&gt;"Não",'Checklist 2026'!F40&lt;&gt;"Não",'Checklist 2026'!F41&lt;&gt;"Não",'Checklist 2026'!F42&lt;&gt;"Não",'Checklist 2026'!F45&lt;&gt;"Não",'Checklist 2026'!F46&lt;&gt;"Não",
'Checklist 2026'!F49&lt;&gt;"Não",'Checklist 2026'!F51&lt;&gt;"Não",'Checklist 2026'!F52&lt;&gt;"Não",'Checklist 2026'!F57&lt;&gt;"Não",'Checklist 2026'!F60&lt;&gt;"Não",'Checklist 2026'!F61&lt;&gt;"Não",'Checklist 2026'!F64&lt;&gt;"Não",
'Checklist 2026'!F73&lt;&gt;"Não",'Checklist 2026'!F81&lt;&gt;"Não",'Checklist 2026'!F82&lt;&gt;"Não",'Checklist 2026'!F83&lt;&gt;"Não"
),
"Nível IV",
IF(
AND(
COUNTIFS('Checklist 2026'!F19:F36,"Não")+COUNTIFS('Checklist 2026'!F38:F46,"Não")+COUNTIFS('Checklist 2026'!F48:F57,"Não")+COUNTIFS('Checklist 2026'!F59:F70,"Não")&lt;=4,
COUNTIFS('Checklist 2026'!F19:F36,"Não")+COUNTIFS('Checklist 2026'!F38:F46,"Não")&lt;=3,
'Checklist 2026'!F23&lt;&gt;"Não",'Checklist 2026'!F24&lt;&gt;"Não",'Checklist 2026'!F26&lt;&gt;"Não",'Checklist 2026'!F31&lt;&gt;"Não",'Checklist 2026'!F36&lt;&gt;"Não",'Checklist 2026'!F44&lt;&gt;"Não",
'Checklist 2026'!F19&lt;&gt;"Não",'Checklist 2026'!F20&lt;&gt;"Não",'Checklist 2026'!F21&lt;&gt;"Não",'Checklist 2026'!F22&lt;&gt;"Não",'Checklist 2026'!F25&lt;&gt;"Não",'Checklist 2026'!F30&lt;&gt;"Não",'Checklist 2026'!F32&lt;&gt;"Não",'Checklist 2026'!F34&lt;&gt;"Não",'Checklist 2026'!F35&lt;&gt;"Não",
'Checklist 2026'!F38&lt;&gt;"Não",'Checklist 2026'!F40&lt;&gt;"Não",'Checklist 2026'!F41&lt;&gt;"Não",'Checklist 2026'!F42&lt;&gt;"Não",'Checklist 2026'!F45&lt;&gt;"Não",'Checklist 2026'!F46&lt;&gt;"Não",
'Checklist 2026'!F49&lt;&gt;"Não",'Checklist 2026'!F51&lt;&gt;"Não",'Checklist 2026'!F52&lt;&gt;"Não",'Checklist 2026'!F57&lt;&gt;"Não",'Checklist 2026'!F60&lt;&gt;"Não",'Checklist 2026'!F61&lt;&gt;"Não",'Checklist 2026'!F64&lt;&gt;"Não"
),
"Nível III",
IF(
AND(
COUNTIFS('Checklist 2026'!F19:F36,"Não")+COUNTIFS('Checklist 2026'!F38:F46,"Não")&lt;=3,
'Checklist 2026'!F23&lt;&gt;"Não",'Checklist 2026'!F24&lt;&gt;"Não",'Checklist 2026'!F26&lt;&gt;"Não",'Checklist 2026'!F31&lt;&gt;"Não",'Checklist 2026'!F36&lt;&gt;"Não",'Checklist 2026'!F44&lt;&gt;"Não"
),
"Nível II",
"Nível I"
))))</f>
        <v>Nível V</v>
      </c>
      <c r="C3" s="466"/>
      <c r="D3" s="466"/>
      <c r="E3" s="466"/>
      <c r="F3" s="466"/>
      <c r="G3" s="466"/>
      <c r="H3" s="466"/>
      <c r="I3" s="467"/>
    </row>
  </sheetData>
  <mergeCells count="2">
    <mergeCell ref="B2:I2"/>
    <mergeCell ref="B3:I3"/>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erformance"/>
  <dimension ref="A1:AY55"/>
  <sheetViews>
    <sheetView showGridLines="0" topLeftCell="A4" zoomScale="75" zoomScaleNormal="100" workbookViewId="0">
      <selection activeCell="W16" sqref="W16"/>
    </sheetView>
  </sheetViews>
  <sheetFormatPr defaultColWidth="8.6328125" defaultRowHeight="15.5"/>
  <cols>
    <col min="1" max="1" width="0.453125" style="80" customWidth="1"/>
    <col min="2" max="2" width="8.6328125" style="80"/>
    <col min="3" max="3" width="19.81640625" style="80" customWidth="1"/>
    <col min="4" max="4" width="7.36328125" style="80" customWidth="1"/>
    <col min="5" max="6" width="13.36328125" style="80" customWidth="1"/>
    <col min="7" max="7" width="8.6328125" style="80"/>
    <col min="8" max="8" width="5.81640625" style="80" customWidth="1"/>
    <col min="9" max="9" width="15.36328125" style="80" customWidth="1"/>
    <col min="10" max="10" width="8.6328125" style="80"/>
    <col min="11" max="12" width="13.36328125" style="80" customWidth="1"/>
    <col min="13" max="14" width="8.6328125" style="80"/>
    <col min="15" max="15" width="15.36328125" style="80" customWidth="1"/>
    <col min="16" max="16" width="8.6328125" style="80"/>
    <col min="17" max="18" width="13.36328125" style="80" customWidth="1"/>
    <col min="19" max="16384" width="8.6328125" style="80"/>
  </cols>
  <sheetData>
    <row r="1" spans="1:51" ht="4" customHeight="1"/>
    <row r="10" spans="1:51" s="81" customFormat="1" ht="23.5">
      <c r="B10" s="82"/>
      <c r="C10" s="136" t="s">
        <v>1338</v>
      </c>
      <c r="D10" s="84"/>
      <c r="E10" s="85"/>
      <c r="F10" s="86"/>
      <c r="G10" s="86"/>
      <c r="H10" s="86"/>
      <c r="I10" s="87"/>
      <c r="J10" s="87"/>
      <c r="K10" s="88"/>
      <c r="L10" s="89"/>
      <c r="M10" s="89"/>
      <c r="N10" s="90"/>
      <c r="O10" s="90"/>
      <c r="P10" s="90"/>
      <c r="Q10" s="90"/>
      <c r="R10" s="90"/>
      <c r="S10" s="90"/>
      <c r="T10" s="90"/>
      <c r="AD10" s="91"/>
      <c r="AE10" s="91"/>
      <c r="AF10" s="91"/>
      <c r="AG10" s="91"/>
      <c r="AH10" s="91"/>
      <c r="AI10" s="91"/>
      <c r="AJ10" s="91"/>
      <c r="AK10" s="91"/>
      <c r="AL10" s="91"/>
      <c r="AM10" s="91"/>
      <c r="AN10" s="91"/>
    </row>
    <row r="11" spans="1:51" s="81" customFormat="1">
      <c r="B11" s="92"/>
      <c r="C11" s="93"/>
      <c r="D11" s="93"/>
      <c r="E11" s="92"/>
      <c r="F11" s="92"/>
      <c r="G11" s="92"/>
      <c r="H11" s="92"/>
      <c r="I11" s="92"/>
      <c r="J11" s="92"/>
      <c r="K11" s="92"/>
      <c r="L11" s="92"/>
      <c r="M11" s="92"/>
      <c r="N11" s="92"/>
      <c r="O11" s="92"/>
      <c r="P11" s="92"/>
      <c r="Q11" s="92"/>
      <c r="R11" s="92"/>
      <c r="S11" s="92"/>
      <c r="T11" s="92"/>
    </row>
    <row r="12" spans="1:51" s="94" customFormat="1" ht="31" customHeight="1">
      <c r="A12" s="81"/>
      <c r="C12" s="126"/>
      <c r="D12" s="126"/>
      <c r="E12" s="126"/>
      <c r="F12" s="137"/>
      <c r="G12" s="137"/>
      <c r="H12" s="137"/>
      <c r="I12" s="137"/>
      <c r="J12" s="137"/>
      <c r="K12" s="137"/>
      <c r="L12" s="137"/>
      <c r="M12" s="137"/>
      <c r="N12" s="137"/>
      <c r="O12" s="137"/>
      <c r="P12" s="137"/>
      <c r="Q12" s="137"/>
      <c r="R12" s="137"/>
      <c r="S12" s="137"/>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c r="AU12" s="81"/>
      <c r="AV12" s="81"/>
      <c r="AW12" s="81"/>
      <c r="AX12" s="81"/>
      <c r="AY12" s="81"/>
    </row>
    <row r="13" spans="1:51" s="94" customFormat="1" ht="31" customHeight="1">
      <c r="A13" s="81"/>
      <c r="C13" s="138"/>
      <c r="D13" s="125"/>
      <c r="E13" s="139" t="s">
        <v>663</v>
      </c>
      <c r="F13" s="95">
        <f>FX!M6</f>
        <v>1</v>
      </c>
      <c r="I13" s="126"/>
      <c r="J13" s="126"/>
      <c r="K13" s="126"/>
      <c r="M13" s="137"/>
      <c r="N13" s="126"/>
      <c r="P13" s="126"/>
      <c r="Q13" s="187" t="str">
        <f>FX!G117</f>
        <v/>
      </c>
      <c r="S13" s="137"/>
      <c r="U13" s="81"/>
      <c r="V13" s="81"/>
      <c r="W13" s="81"/>
      <c r="X13" s="81"/>
      <c r="Y13" s="81"/>
      <c r="Z13" s="81"/>
      <c r="AA13" s="81"/>
      <c r="AB13" s="81"/>
      <c r="AC13" s="81"/>
      <c r="AD13" s="81"/>
      <c r="AE13" s="81"/>
      <c r="AF13" s="81"/>
      <c r="AG13" s="81"/>
      <c r="AH13" s="81"/>
      <c r="AI13" s="81"/>
      <c r="AJ13" s="81"/>
      <c r="AK13" s="81"/>
      <c r="AL13" s="81"/>
      <c r="AM13" s="81"/>
      <c r="AN13" s="81"/>
      <c r="AO13" s="81"/>
      <c r="AP13" s="81"/>
      <c r="AQ13" s="81"/>
      <c r="AR13" s="81"/>
      <c r="AS13" s="81"/>
      <c r="AT13" s="81"/>
      <c r="AU13" s="81"/>
      <c r="AV13" s="81"/>
      <c r="AW13" s="81"/>
      <c r="AX13" s="81"/>
      <c r="AY13" s="81"/>
    </row>
    <row r="14" spans="1:51" s="94" customFormat="1" ht="31" customHeight="1">
      <c r="A14" s="81"/>
      <c r="C14" s="138"/>
      <c r="D14" s="125"/>
      <c r="E14" s="140" t="s">
        <v>1293</v>
      </c>
      <c r="F14" s="95">
        <f>FX!M7</f>
        <v>1</v>
      </c>
      <c r="I14" s="126"/>
      <c r="J14" s="126"/>
      <c r="K14" s="449"/>
      <c r="L14" s="449"/>
      <c r="M14" s="141"/>
      <c r="N14" s="449"/>
      <c r="O14" s="449"/>
      <c r="P14" s="142"/>
      <c r="Q14" s="188" t="str">
        <f>FX!G119</f>
        <v/>
      </c>
      <c r="S14" s="14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81"/>
      <c r="AS14" s="81"/>
      <c r="AT14" s="81"/>
      <c r="AU14" s="81"/>
      <c r="AV14" s="81"/>
      <c r="AW14" s="81"/>
      <c r="AX14" s="81"/>
      <c r="AY14" s="81"/>
    </row>
    <row r="15" spans="1:51" s="94" customFormat="1" ht="31" customHeight="1">
      <c r="A15" s="81"/>
      <c r="C15" s="138"/>
      <c r="D15" s="125"/>
      <c r="E15" s="143" t="s">
        <v>1294</v>
      </c>
      <c r="F15" s="95">
        <f>FX!M8</f>
        <v>1</v>
      </c>
      <c r="I15" s="126"/>
      <c r="J15" s="126"/>
      <c r="K15" s="450"/>
      <c r="L15" s="450"/>
      <c r="M15" s="137"/>
      <c r="N15" s="450"/>
      <c r="O15" s="450"/>
      <c r="P15" s="144"/>
      <c r="Q15" s="189" t="str">
        <f>FX!G123</f>
        <v/>
      </c>
      <c r="S15" s="137"/>
      <c r="U15" s="81"/>
      <c r="V15" s="81"/>
      <c r="W15" s="81"/>
      <c r="X15" s="81"/>
      <c r="Y15" s="81"/>
      <c r="Z15" s="81"/>
      <c r="AA15" s="81"/>
      <c r="AB15" s="81"/>
      <c r="AC15" s="81"/>
      <c r="AD15" s="81"/>
      <c r="AE15" s="81"/>
      <c r="AF15" s="81"/>
      <c r="AG15" s="81"/>
      <c r="AH15" s="81"/>
      <c r="AI15" s="81"/>
      <c r="AJ15" s="81"/>
      <c r="AK15" s="81"/>
      <c r="AL15" s="81"/>
      <c r="AM15" s="81"/>
      <c r="AN15" s="81"/>
      <c r="AO15" s="81"/>
      <c r="AP15" s="81"/>
      <c r="AQ15" s="81"/>
      <c r="AR15" s="81"/>
      <c r="AS15" s="81"/>
      <c r="AT15" s="81"/>
      <c r="AU15" s="81"/>
      <c r="AV15" s="81"/>
      <c r="AW15" s="81"/>
      <c r="AX15" s="81"/>
      <c r="AY15" s="81"/>
    </row>
    <row r="16" spans="1:51" s="94" customFormat="1" ht="31" customHeight="1">
      <c r="A16" s="81"/>
      <c r="C16" s="138"/>
      <c r="D16" s="138"/>
      <c r="Q16" s="145"/>
      <c r="R16" s="145"/>
      <c r="S16" s="145"/>
      <c r="U16" s="81"/>
      <c r="V16" s="81"/>
      <c r="W16" s="81"/>
      <c r="X16" s="81"/>
      <c r="Y16" s="81"/>
      <c r="Z16" s="81"/>
      <c r="AA16" s="81"/>
      <c r="AB16" s="81"/>
      <c r="AC16" s="81"/>
      <c r="AD16" s="81"/>
      <c r="AE16" s="81"/>
      <c r="AF16" s="81"/>
      <c r="AG16" s="81"/>
      <c r="AH16" s="81"/>
      <c r="AI16" s="81"/>
      <c r="AJ16" s="81"/>
      <c r="AK16" s="81"/>
      <c r="AL16" s="81"/>
      <c r="AM16" s="81"/>
      <c r="AN16" s="81"/>
      <c r="AO16" s="81"/>
      <c r="AP16" s="81"/>
      <c r="AQ16" s="81"/>
      <c r="AR16" s="81"/>
      <c r="AS16" s="81"/>
      <c r="AT16" s="81"/>
      <c r="AU16" s="81"/>
      <c r="AV16" s="81"/>
      <c r="AW16" s="81"/>
      <c r="AX16" s="81"/>
      <c r="AY16" s="81"/>
    </row>
    <row r="17" spans="1:51" s="94" customFormat="1">
      <c r="A17" s="81"/>
      <c r="B17" s="92"/>
      <c r="C17" s="93"/>
      <c r="D17" s="93"/>
      <c r="E17" s="92"/>
      <c r="F17" s="92"/>
      <c r="G17" s="96"/>
      <c r="H17" s="92"/>
      <c r="I17" s="97"/>
      <c r="J17" s="97"/>
      <c r="K17" s="97"/>
      <c r="L17" s="98"/>
      <c r="M17" s="98"/>
      <c r="N17" s="92"/>
      <c r="O17" s="92"/>
      <c r="P17" s="92"/>
      <c r="Q17" s="92"/>
      <c r="R17" s="92"/>
      <c r="S17" s="92"/>
      <c r="T17" s="92"/>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row>
    <row r="18" spans="1:51" s="81" customFormat="1" ht="23.5">
      <c r="B18" s="82"/>
      <c r="C18" s="136" t="s">
        <v>1339</v>
      </c>
      <c r="D18" s="84"/>
      <c r="E18" s="85"/>
      <c r="F18" s="86"/>
      <c r="G18" s="86"/>
      <c r="H18" s="86"/>
      <c r="I18" s="136" t="str">
        <f>IF(References!B11,"Regenerating Together Performance Level","")</f>
        <v>Regenerating Together Performance Level</v>
      </c>
      <c r="J18" s="87"/>
      <c r="K18" s="88"/>
      <c r="L18" s="89"/>
      <c r="M18" s="89"/>
      <c r="N18" s="90"/>
      <c r="O18" s="136"/>
      <c r="P18" s="90"/>
      <c r="Q18" s="83"/>
      <c r="R18" s="90"/>
      <c r="S18" s="90"/>
      <c r="T18" s="90"/>
    </row>
    <row r="19" spans="1:51" s="81" customFormat="1">
      <c r="B19" s="92"/>
      <c r="C19" s="99"/>
      <c r="D19" s="100"/>
      <c r="E19" s="101"/>
      <c r="F19" s="102"/>
      <c r="G19" s="102"/>
      <c r="H19" s="102"/>
      <c r="I19" s="103"/>
      <c r="J19" s="103"/>
      <c r="K19" s="104"/>
      <c r="L19" s="105"/>
      <c r="M19" s="105"/>
      <c r="N19" s="106"/>
      <c r="O19" s="106"/>
      <c r="P19" s="106"/>
      <c r="Q19" s="106"/>
      <c r="R19" s="106"/>
      <c r="S19" s="106"/>
      <c r="T19" s="106"/>
    </row>
    <row r="20" spans="1:51" s="81" customFormat="1" ht="23.5">
      <c r="B20" s="79"/>
      <c r="C20" s="453" t="str">
        <f>FX!C5</f>
        <v>Gold</v>
      </c>
      <c r="D20" s="453"/>
      <c r="E20" s="453"/>
      <c r="F20" s="453"/>
      <c r="G20" s="453"/>
      <c r="H20" s="92"/>
      <c r="I20" s="458" t="str">
        <f>IF(References!B11,RegenAg!N44,"")</f>
        <v>Not Yet Engaging</v>
      </c>
      <c r="J20" s="458"/>
      <c r="K20" s="458"/>
      <c r="L20" s="458"/>
      <c r="M20" s="458"/>
      <c r="N20" s="106"/>
      <c r="O20" s="451"/>
      <c r="P20" s="451"/>
      <c r="Q20" s="451"/>
      <c r="R20" s="451"/>
      <c r="S20" s="451"/>
      <c r="T20" s="106"/>
    </row>
    <row r="21" spans="1:51" s="81" customFormat="1" ht="18">
      <c r="B21" s="79"/>
      <c r="C21" s="79"/>
      <c r="D21" s="79"/>
      <c r="E21" s="79"/>
      <c r="F21" s="79"/>
      <c r="G21" s="79"/>
      <c r="H21" s="79"/>
      <c r="I21" s="452"/>
      <c r="J21" s="452"/>
      <c r="K21" s="452"/>
      <c r="L21" s="452"/>
      <c r="M21" s="452"/>
      <c r="N21" s="227"/>
      <c r="O21" s="452"/>
      <c r="P21" s="452"/>
      <c r="Q21" s="452"/>
      <c r="R21" s="452"/>
      <c r="S21" s="452"/>
      <c r="T21" s="79"/>
    </row>
    <row r="22" spans="1:51" s="81" customFormat="1" ht="18">
      <c r="B22" s="79"/>
      <c r="C22" s="79"/>
      <c r="D22" s="79"/>
      <c r="E22" s="79"/>
      <c r="F22" s="79"/>
      <c r="G22" s="79"/>
      <c r="H22" s="79"/>
      <c r="I22" s="459"/>
      <c r="J22" s="459"/>
      <c r="K22" s="459"/>
      <c r="L22" s="459"/>
      <c r="M22" s="459"/>
      <c r="N22" s="228"/>
      <c r="O22" s="448"/>
      <c r="P22" s="448"/>
      <c r="Q22" s="448"/>
      <c r="R22" s="448"/>
      <c r="S22" s="448"/>
      <c r="T22" s="79"/>
    </row>
    <row r="23" spans="1:51" s="81" customFormat="1" ht="18">
      <c r="B23" s="79"/>
      <c r="C23" s="79"/>
      <c r="D23" s="79"/>
      <c r="E23" s="79"/>
      <c r="F23" s="79"/>
      <c r="G23" s="79"/>
      <c r="H23" s="79"/>
      <c r="I23" s="79"/>
      <c r="J23" s="79"/>
      <c r="K23" s="79"/>
      <c r="L23" s="79"/>
      <c r="M23" s="79"/>
      <c r="N23" s="79"/>
      <c r="O23" s="79"/>
      <c r="P23" s="79"/>
      <c r="Q23" s="79"/>
      <c r="R23" s="79"/>
      <c r="S23" s="79"/>
      <c r="T23" s="79"/>
    </row>
    <row r="24" spans="1:51" s="94" customFormat="1" ht="23.5">
      <c r="A24" s="81"/>
      <c r="B24" s="82"/>
      <c r="C24" s="136" t="s">
        <v>1340</v>
      </c>
      <c r="D24" s="107"/>
      <c r="E24" s="85"/>
      <c r="F24" s="108"/>
      <c r="G24" s="108"/>
      <c r="H24" s="108"/>
      <c r="I24" s="109"/>
      <c r="J24" s="109"/>
      <c r="K24" s="110"/>
      <c r="L24" s="90"/>
      <c r="M24" s="90"/>
      <c r="N24" s="90"/>
      <c r="O24" s="90"/>
      <c r="P24" s="90"/>
      <c r="Q24" s="90"/>
      <c r="R24" s="90"/>
      <c r="S24" s="90"/>
      <c r="T24" s="90"/>
      <c r="U24" s="81"/>
      <c r="V24" s="81"/>
      <c r="W24" s="81"/>
      <c r="X24" s="81"/>
      <c r="Y24" s="81"/>
      <c r="Z24" s="81"/>
      <c r="AA24" s="81"/>
      <c r="AB24" s="81"/>
      <c r="AC24" s="81"/>
      <c r="AD24" s="81"/>
      <c r="AE24" s="81"/>
      <c r="AF24" s="81"/>
      <c r="AG24" s="81"/>
      <c r="AH24" s="81"/>
      <c r="AI24" s="81"/>
      <c r="AJ24" s="81"/>
      <c r="AK24" s="81"/>
      <c r="AL24" s="81"/>
      <c r="AM24" s="81"/>
      <c r="AN24" s="81"/>
      <c r="AO24" s="81"/>
      <c r="AP24" s="81"/>
      <c r="AQ24" s="81"/>
      <c r="AR24" s="81"/>
      <c r="AS24" s="81"/>
      <c r="AT24" s="81"/>
      <c r="AU24" s="81"/>
      <c r="AV24" s="81"/>
      <c r="AW24" s="81"/>
      <c r="AX24" s="81"/>
      <c r="AY24" s="81"/>
    </row>
    <row r="25" spans="1:51" s="94" customFormat="1">
      <c r="A25" s="81"/>
      <c r="B25" s="81"/>
      <c r="C25" s="91"/>
      <c r="D25" s="111"/>
      <c r="E25" s="112"/>
      <c r="F25" s="113"/>
      <c r="G25" s="113"/>
      <c r="H25" s="113"/>
      <c r="I25" s="114"/>
      <c r="J25" s="114"/>
      <c r="K25" s="115"/>
      <c r="L25" s="116"/>
      <c r="M25" s="116"/>
      <c r="N25" s="116"/>
      <c r="O25" s="116"/>
      <c r="P25" s="116"/>
      <c r="Q25" s="116"/>
      <c r="R25" s="116"/>
      <c r="S25" s="116"/>
      <c r="T25" s="116"/>
      <c r="U25" s="81"/>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row>
    <row r="26" spans="1:51" s="81" customFormat="1" ht="18">
      <c r="B26" s="127"/>
      <c r="C26" s="127"/>
      <c r="D26" s="127"/>
      <c r="E26" s="127"/>
      <c r="F26" s="80"/>
      <c r="G26" s="80"/>
      <c r="H26" s="80"/>
      <c r="I26" s="128"/>
      <c r="J26" s="128"/>
      <c r="K26" s="129"/>
      <c r="L26" s="130"/>
      <c r="M26" s="130"/>
      <c r="N26" s="130"/>
      <c r="O26" s="130"/>
      <c r="P26" s="130"/>
      <c r="Q26" s="130"/>
      <c r="R26" s="130"/>
      <c r="S26" s="130"/>
      <c r="T26" s="130"/>
    </row>
    <row r="27" spans="1:51" s="81" customFormat="1">
      <c r="B27" s="80"/>
      <c r="C27" s="454" t="str">
        <f>FX!C82</f>
        <v>Farm Management &amp; Community</v>
      </c>
      <c r="D27" s="456"/>
      <c r="E27" s="160" t="str">
        <f>FX!$C$76</f>
        <v>Essential</v>
      </c>
      <c r="F27" s="161">
        <f>FX!Q12</f>
        <v>1</v>
      </c>
      <c r="G27" s="131"/>
      <c r="H27" s="80"/>
      <c r="I27" s="454" t="str">
        <f>FX!C86</f>
        <v>Chemical Control</v>
      </c>
      <c r="J27" s="456"/>
      <c r="K27" s="160" t="str">
        <f>FX!$C$76</f>
        <v>Essential</v>
      </c>
      <c r="L27" s="161">
        <f>FX!Q32</f>
        <v>1</v>
      </c>
      <c r="M27" s="80"/>
      <c r="N27" s="80"/>
      <c r="O27" s="454" t="str">
        <f>FX!C90</f>
        <v>Biodiversity</v>
      </c>
      <c r="P27" s="456"/>
      <c r="Q27" s="160" t="str">
        <f>FX!$C$76</f>
        <v>Essential</v>
      </c>
      <c r="R27" s="161">
        <f>FX!Q52</f>
        <v>1</v>
      </c>
      <c r="S27" s="80"/>
      <c r="T27" s="80"/>
      <c r="AH27" s="117"/>
      <c r="AY27" s="117"/>
    </row>
    <row r="28" spans="1:51" s="81" customFormat="1">
      <c r="B28" s="80"/>
      <c r="C28" s="454"/>
      <c r="D28" s="456"/>
      <c r="E28" s="160" t="str">
        <f>FX!$C$77</f>
        <v>Intermediate</v>
      </c>
      <c r="F28" s="161">
        <f>FX!Q13</f>
        <v>1</v>
      </c>
      <c r="G28" s="131"/>
      <c r="H28" s="80"/>
      <c r="I28" s="454"/>
      <c r="J28" s="456"/>
      <c r="K28" s="160" t="str">
        <f>FX!$C$77</f>
        <v>Intermediate</v>
      </c>
      <c r="L28" s="161">
        <f>FX!Q33</f>
        <v>1</v>
      </c>
      <c r="M28" s="80"/>
      <c r="N28" s="80"/>
      <c r="O28" s="454"/>
      <c r="P28" s="456"/>
      <c r="Q28" s="160" t="str">
        <f>FX!$C$77</f>
        <v>Intermediate</v>
      </c>
      <c r="R28" s="161">
        <f>FX!Q53</f>
        <v>1</v>
      </c>
      <c r="S28" s="80"/>
      <c r="T28" s="80"/>
      <c r="AH28" s="117"/>
      <c r="AY28" s="117"/>
    </row>
    <row r="29" spans="1:51" s="81" customFormat="1">
      <c r="B29" s="80"/>
      <c r="C29" s="454"/>
      <c r="D29" s="456"/>
      <c r="E29" s="160" t="str">
        <f>FX!$C$78</f>
        <v>Advanced</v>
      </c>
      <c r="F29" s="161">
        <f>FX!Q14</f>
        <v>1</v>
      </c>
      <c r="G29" s="131"/>
      <c r="H29" s="80"/>
      <c r="I29" s="454"/>
      <c r="J29" s="456"/>
      <c r="K29" s="160" t="str">
        <f>FX!$C$78</f>
        <v>Advanced</v>
      </c>
      <c r="L29" s="161" t="str">
        <f>FX!Q34</f>
        <v>-</v>
      </c>
      <c r="M29" s="80"/>
      <c r="N29" s="80"/>
      <c r="O29" s="454"/>
      <c r="P29" s="456"/>
      <c r="Q29" s="160" t="str">
        <f>FX!$C$78</f>
        <v>Advanced</v>
      </c>
      <c r="R29" s="161">
        <f>FX!Q54</f>
        <v>1</v>
      </c>
      <c r="S29" s="80"/>
      <c r="T29" s="80"/>
      <c r="AH29" s="91"/>
      <c r="AY29" s="117"/>
    </row>
    <row r="30" spans="1:51" s="81" customFormat="1">
      <c r="B30" s="80"/>
      <c r="C30" s="455"/>
      <c r="D30" s="457"/>
      <c r="E30" s="460" t="str">
        <f>IF(FX!E24=0,FX!$C$108,IF(FX!E24=1,FX!$C$106,IF(FX!E24&gt;1,_xlfn.CONCAT(FX!E24," ",FX!$C$107))))</f>
        <v>2 questions are not applicable</v>
      </c>
      <c r="F30" s="460"/>
      <c r="G30" s="460"/>
      <c r="H30" s="80"/>
      <c r="I30" s="455"/>
      <c r="J30" s="457"/>
      <c r="K30" s="461" t="str">
        <f>IF(FX!E44=0,FX!$C$108,IF(FX!E44=1,FX!$C$106,IF(FX!E44&gt;1,_xlfn.CONCAT(FX!E44," ",FX!$C$107))))</f>
        <v>All questions apply</v>
      </c>
      <c r="L30" s="461"/>
      <c r="M30" s="461"/>
      <c r="N30" s="80"/>
      <c r="O30" s="455"/>
      <c r="P30" s="457"/>
      <c r="Q30" s="461" t="str">
        <f>IF(FX!E64=0,FX!$C$108,IF(FX!E64=1,FX!$C$106,IF(FX!E64&gt;1,_xlfn.CONCAT(FX!E64," ",FX!$C$107))))</f>
        <v>4 questions are not applicable</v>
      </c>
      <c r="R30" s="461"/>
      <c r="S30" s="461"/>
      <c r="T30" s="80"/>
      <c r="AH30" s="117"/>
      <c r="AY30" s="117"/>
    </row>
    <row r="31" spans="1:51" s="81" customFormat="1" ht="18">
      <c r="B31" s="127"/>
      <c r="C31" s="132"/>
      <c r="D31" s="132"/>
      <c r="E31" s="133"/>
      <c r="F31" s="134"/>
      <c r="G31" s="131"/>
      <c r="H31" s="80"/>
      <c r="I31" s="132"/>
      <c r="J31" s="132"/>
      <c r="K31" s="127"/>
      <c r="L31" s="135"/>
      <c r="M31" s="80"/>
      <c r="N31" s="80"/>
      <c r="O31" s="132"/>
      <c r="P31" s="132"/>
      <c r="Q31" s="133"/>
      <c r="R31" s="135"/>
      <c r="S31" s="135"/>
      <c r="T31" s="80"/>
      <c r="AH31" s="117"/>
      <c r="AY31" s="117"/>
    </row>
    <row r="32" spans="1:51" s="81" customFormat="1" ht="15.75" customHeight="1">
      <c r="B32" s="80"/>
      <c r="C32" s="454" t="str">
        <f>FX!C83</f>
        <v>Plant Material Selection &amp; Propagation</v>
      </c>
      <c r="D32" s="456"/>
      <c r="E32" s="160" t="str">
        <f>FX!$C$76</f>
        <v>Essential</v>
      </c>
      <c r="F32" s="161">
        <f>FX!Q17</f>
        <v>1</v>
      </c>
      <c r="G32" s="131"/>
      <c r="H32" s="80"/>
      <c r="I32" s="454" t="str">
        <f>FX!C87</f>
        <v>Integrated Pest Management</v>
      </c>
      <c r="J32" s="456"/>
      <c r="K32" s="160" t="str">
        <f>FX!$C$76</f>
        <v>Essential</v>
      </c>
      <c r="L32" s="161" t="str">
        <f>FX!Q37</f>
        <v>-</v>
      </c>
      <c r="M32" s="80"/>
      <c r="N32" s="80"/>
      <c r="O32" s="454" t="str">
        <f>FX!C92</f>
        <v>Labour Conditions</v>
      </c>
      <c r="P32" s="456"/>
      <c r="Q32" s="160" t="str">
        <f>FX!$C$76</f>
        <v>Essential</v>
      </c>
      <c r="R32" s="161">
        <f>FX!Q62</f>
        <v>1</v>
      </c>
      <c r="S32" s="80"/>
      <c r="T32" s="80"/>
      <c r="AY32" s="117"/>
    </row>
    <row r="33" spans="2:20" s="81" customFormat="1">
      <c r="B33" s="80"/>
      <c r="C33" s="454"/>
      <c r="D33" s="456"/>
      <c r="E33" s="160" t="str">
        <f>FX!$C$77</f>
        <v>Intermediate</v>
      </c>
      <c r="F33" s="161">
        <f>FX!Q18</f>
        <v>1</v>
      </c>
      <c r="G33" s="131"/>
      <c r="H33" s="80"/>
      <c r="I33" s="454"/>
      <c r="J33" s="456"/>
      <c r="K33" s="160" t="str">
        <f>FX!$C$77</f>
        <v>Intermediate</v>
      </c>
      <c r="L33" s="161">
        <f>FX!Q38</f>
        <v>1</v>
      </c>
      <c r="M33" s="80"/>
      <c r="N33" s="80"/>
      <c r="O33" s="454"/>
      <c r="P33" s="456"/>
      <c r="Q33" s="160" t="str">
        <f>FX!$C$77</f>
        <v>Intermediate</v>
      </c>
      <c r="R33" s="161">
        <f>FX!Q63</f>
        <v>1</v>
      </c>
      <c r="S33" s="80"/>
      <c r="T33" s="80"/>
    </row>
    <row r="34" spans="2:20" s="81" customFormat="1">
      <c r="B34" s="80"/>
      <c r="C34" s="454"/>
      <c r="D34" s="456"/>
      <c r="E34" s="160" t="str">
        <f>FX!$C$78</f>
        <v>Advanced</v>
      </c>
      <c r="F34" s="161">
        <f>FX!Q19</f>
        <v>1</v>
      </c>
      <c r="G34" s="131"/>
      <c r="H34" s="80"/>
      <c r="I34" s="454"/>
      <c r="J34" s="456"/>
      <c r="K34" s="160" t="str">
        <f>FX!$C$78</f>
        <v>Advanced</v>
      </c>
      <c r="L34" s="161" t="str">
        <f>FX!Q39</f>
        <v>-</v>
      </c>
      <c r="M34" s="80"/>
      <c r="N34" s="80"/>
      <c r="O34" s="454"/>
      <c r="P34" s="456"/>
      <c r="Q34" s="160" t="str">
        <f>FX!$C$78</f>
        <v>Advanced</v>
      </c>
      <c r="R34" s="161">
        <f>FX!Q64</f>
        <v>1</v>
      </c>
      <c r="S34" s="80"/>
      <c r="T34" s="80"/>
    </row>
    <row r="35" spans="2:20" s="81" customFormat="1">
      <c r="B35" s="80"/>
      <c r="C35" s="455"/>
      <c r="D35" s="457"/>
      <c r="E35" s="460" t="str">
        <f>IF(FX!E29=0,FX!$C$108,IF(FX!E29=1,FX!$C$106,IF(FX!E29&gt;1,_xlfn.CONCAT(FX!E29," ",FX!$C$107))))</f>
        <v>2 questions are not applicable</v>
      </c>
      <c r="F35" s="460"/>
      <c r="G35" s="460"/>
      <c r="H35" s="80"/>
      <c r="I35" s="455"/>
      <c r="J35" s="457"/>
      <c r="K35" s="461" t="str">
        <f>IF(FX!E49=0,FX!$C$108,IF(FX!E49=1,FX!$C$106,IF(FX!E49&gt;1,_xlfn.CONCAT(FX!E49," ",FX!$C$107))))</f>
        <v>2 questions are not applicable</v>
      </c>
      <c r="L35" s="461"/>
      <c r="M35" s="461"/>
      <c r="N35" s="80"/>
      <c r="O35" s="455"/>
      <c r="P35" s="457"/>
      <c r="Q35" s="461" t="str">
        <f>IF(FX!E69=0,FX!$C$108,IF(FX!E69=1,FX!$C$106,IF(FX!E69&gt;1,_xlfn.CONCAT(FX!E69," ",FX!$C$107))))</f>
        <v>All questions apply</v>
      </c>
      <c r="R35" s="461"/>
      <c r="S35" s="461"/>
      <c r="T35" s="80"/>
    </row>
    <row r="36" spans="2:20" s="81" customFormat="1" ht="18">
      <c r="B36" s="127"/>
      <c r="C36" s="132"/>
      <c r="D36" s="132"/>
      <c r="E36" s="133"/>
      <c r="F36" s="134"/>
      <c r="G36" s="131"/>
      <c r="H36" s="80"/>
      <c r="I36" s="127"/>
      <c r="J36" s="127"/>
      <c r="K36" s="127"/>
      <c r="L36" s="135"/>
      <c r="M36" s="80"/>
      <c r="N36" s="80"/>
      <c r="O36" s="132"/>
      <c r="P36" s="132"/>
      <c r="Q36" s="133"/>
      <c r="R36" s="135"/>
      <c r="S36" s="135"/>
      <c r="T36" s="80"/>
    </row>
    <row r="37" spans="2:20" s="81" customFormat="1" ht="15.75" customHeight="1">
      <c r="B37" s="80"/>
      <c r="C37" s="454" t="str">
        <f>FX!C84</f>
        <v>Soil Management</v>
      </c>
      <c r="D37" s="456"/>
      <c r="E37" s="160" t="str">
        <f>FX!$C$76</f>
        <v>Essential</v>
      </c>
      <c r="F37" s="161" t="str">
        <f>FX!Q22</f>
        <v>-</v>
      </c>
      <c r="G37" s="131"/>
      <c r="H37" s="80"/>
      <c r="I37" s="454" t="str">
        <f>FX!C88</f>
        <v>Waste Management</v>
      </c>
      <c r="J37" s="456"/>
      <c r="K37" s="160" t="str">
        <f>FX!$C$76</f>
        <v>Essential</v>
      </c>
      <c r="L37" s="161" t="str">
        <f>FX!Q42</f>
        <v>-</v>
      </c>
      <c r="M37" s="80"/>
      <c r="N37" s="80"/>
      <c r="O37" s="454" t="str">
        <f>FX!C93</f>
        <v>Livestock</v>
      </c>
      <c r="P37" s="456"/>
      <c r="Q37" s="160" t="str">
        <f>FX!$C$76</f>
        <v>Essential</v>
      </c>
      <c r="R37" s="161" t="str">
        <f>FX!Q67</f>
        <v>-</v>
      </c>
      <c r="S37" s="80"/>
      <c r="T37" s="80"/>
    </row>
    <row r="38" spans="2:20" s="81" customFormat="1">
      <c r="B38" s="80"/>
      <c r="C38" s="454"/>
      <c r="D38" s="456"/>
      <c r="E38" s="160" t="str">
        <f>FX!$C$77</f>
        <v>Intermediate</v>
      </c>
      <c r="F38" s="161">
        <f>FX!Q23</f>
        <v>1</v>
      </c>
      <c r="G38" s="131"/>
      <c r="H38" s="80"/>
      <c r="I38" s="454"/>
      <c r="J38" s="456"/>
      <c r="K38" s="160" t="str">
        <f>FX!$C$77</f>
        <v>Intermediate</v>
      </c>
      <c r="L38" s="161">
        <f>FX!Q43</f>
        <v>1</v>
      </c>
      <c r="M38" s="80"/>
      <c r="N38" s="80"/>
      <c r="O38" s="454"/>
      <c r="P38" s="456"/>
      <c r="Q38" s="160" t="str">
        <f>FX!$C$77</f>
        <v>Intermediate</v>
      </c>
      <c r="R38" s="161" t="str">
        <f>FX!Q68</f>
        <v>-</v>
      </c>
      <c r="S38" s="80"/>
      <c r="T38" s="80"/>
    </row>
    <row r="39" spans="2:20" s="81" customFormat="1">
      <c r="B39" s="80"/>
      <c r="C39" s="454"/>
      <c r="D39" s="456"/>
      <c r="E39" s="160" t="str">
        <f>FX!$C$78</f>
        <v>Advanced</v>
      </c>
      <c r="F39" s="161">
        <f>FX!Q24</f>
        <v>1</v>
      </c>
      <c r="G39" s="131"/>
      <c r="H39" s="80"/>
      <c r="I39" s="454"/>
      <c r="J39" s="456"/>
      <c r="K39" s="160" t="str">
        <f>FX!$C$78</f>
        <v>Advanced</v>
      </c>
      <c r="L39" s="161" t="str">
        <f>FX!Q44</f>
        <v>-</v>
      </c>
      <c r="M39" s="80"/>
      <c r="N39" s="80"/>
      <c r="O39" s="454"/>
      <c r="P39" s="456"/>
      <c r="Q39" s="160" t="str">
        <f>FX!$C$78</f>
        <v>Advanced</v>
      </c>
      <c r="R39" s="161" t="str">
        <f>FX!Q69</f>
        <v>-</v>
      </c>
      <c r="S39" s="80"/>
      <c r="T39" s="80"/>
    </row>
    <row r="40" spans="2:20" s="81" customFormat="1">
      <c r="B40" s="80"/>
      <c r="C40" s="455"/>
      <c r="D40" s="457"/>
      <c r="E40" s="460" t="str">
        <f>IF(FX!E34=0,FX!$C$108,IF(FX!E34=1,FX!$C$106,IF(FX!E34&gt;1,_xlfn.CONCAT(FX!E34," ",FX!$C$107))))</f>
        <v>All questions apply</v>
      </c>
      <c r="F40" s="460"/>
      <c r="G40" s="460"/>
      <c r="H40" s="80"/>
      <c r="I40" s="455"/>
      <c r="J40" s="457"/>
      <c r="K40" s="461" t="str">
        <f>IF(FX!E54=0,FX!$C$108,IF(FX!E54=1,FX!$C$106,IF(FX!E54&gt;1,_xlfn.CONCAT(FX!E54," ",FX!$C$107))))</f>
        <v>5 questions are not applicable</v>
      </c>
      <c r="L40" s="461"/>
      <c r="M40" s="461"/>
      <c r="N40" s="80"/>
      <c r="O40" s="455"/>
      <c r="P40" s="457"/>
      <c r="Q40" s="461" t="str">
        <f>IF(FX!E74=0,FX!$C$108,IF(FX!E74=1,FX!$C$106,IF(FX!E74&gt;1,_xlfn.CONCAT(FX!E74," ",FX!$C$107))))</f>
        <v>All questions apply</v>
      </c>
      <c r="R40" s="461"/>
      <c r="S40" s="461"/>
      <c r="T40" s="80"/>
    </row>
    <row r="41" spans="2:20" s="81" customFormat="1" ht="18">
      <c r="B41" s="127"/>
      <c r="C41" s="132"/>
      <c r="D41" s="132"/>
      <c r="E41" s="133"/>
      <c r="F41" s="134"/>
      <c r="G41" s="131"/>
      <c r="H41" s="80"/>
      <c r="I41" s="132"/>
      <c r="J41" s="132"/>
      <c r="K41" s="133"/>
      <c r="L41" s="135"/>
      <c r="M41" s="135"/>
      <c r="N41" s="80"/>
      <c r="O41" s="132"/>
      <c r="P41" s="132"/>
      <c r="Q41" s="133"/>
      <c r="R41" s="135"/>
      <c r="S41" s="135"/>
      <c r="T41" s="80"/>
    </row>
    <row r="42" spans="2:20" s="81" customFormat="1">
      <c r="B42" s="80"/>
      <c r="C42" s="454" t="str">
        <f>FX!C85</f>
        <v>Nutrient Management</v>
      </c>
      <c r="D42" s="456"/>
      <c r="E42" s="160" t="str">
        <f>FX!$C$76</f>
        <v>Essential</v>
      </c>
      <c r="F42" s="161" t="str">
        <f>FX!Q27</f>
        <v>-</v>
      </c>
      <c r="G42" s="131"/>
      <c r="H42" s="80"/>
      <c r="I42" s="454" t="str">
        <f>FX!C89</f>
        <v>Water Management</v>
      </c>
      <c r="J42" s="456"/>
      <c r="K42" s="160" t="str">
        <f>FX!$C$76</f>
        <v>Essential</v>
      </c>
      <c r="L42" s="161">
        <f>FX!Q47</f>
        <v>1</v>
      </c>
      <c r="M42" s="80"/>
      <c r="N42" s="80"/>
      <c r="O42" s="135"/>
      <c r="P42" s="135"/>
      <c r="Q42" s="135"/>
      <c r="R42" s="135"/>
      <c r="S42" s="135"/>
      <c r="T42" s="80"/>
    </row>
    <row r="43" spans="2:20" s="81" customFormat="1">
      <c r="B43" s="80"/>
      <c r="C43" s="454"/>
      <c r="D43" s="456"/>
      <c r="E43" s="160" t="str">
        <f>FX!$C$77</f>
        <v>Intermediate</v>
      </c>
      <c r="F43" s="161">
        <f>FX!Q28</f>
        <v>1</v>
      </c>
      <c r="G43" s="131"/>
      <c r="H43" s="80"/>
      <c r="I43" s="454"/>
      <c r="J43" s="456"/>
      <c r="K43" s="160" t="str">
        <f>FX!$C$77</f>
        <v>Intermediate</v>
      </c>
      <c r="L43" s="161">
        <f>FX!Q48</f>
        <v>1</v>
      </c>
      <c r="M43" s="80"/>
      <c r="N43" s="80"/>
      <c r="O43" s="135"/>
      <c r="P43" s="135"/>
      <c r="Q43" s="135"/>
      <c r="R43" s="135"/>
      <c r="S43" s="135"/>
      <c r="T43" s="80"/>
    </row>
    <row r="44" spans="2:20" s="81" customFormat="1">
      <c r="B44" s="80"/>
      <c r="C44" s="454"/>
      <c r="D44" s="456"/>
      <c r="E44" s="160" t="str">
        <f>FX!$C$78</f>
        <v>Advanced</v>
      </c>
      <c r="F44" s="161">
        <f>FX!Q29</f>
        <v>1</v>
      </c>
      <c r="G44" s="131"/>
      <c r="H44" s="80"/>
      <c r="I44" s="454"/>
      <c r="J44" s="456"/>
      <c r="K44" s="160" t="str">
        <f>FX!$C$78</f>
        <v>Advanced</v>
      </c>
      <c r="L44" s="161">
        <f>FX!Q49</f>
        <v>1</v>
      </c>
      <c r="M44" s="80"/>
      <c r="N44" s="80"/>
      <c r="O44" s="135"/>
      <c r="P44" s="135"/>
      <c r="Q44" s="135"/>
      <c r="R44" s="135"/>
      <c r="S44" s="135"/>
      <c r="T44" s="80"/>
    </row>
    <row r="45" spans="2:20" s="81" customFormat="1">
      <c r="B45" s="80"/>
      <c r="C45" s="455"/>
      <c r="D45" s="457"/>
      <c r="E45" s="460" t="str">
        <f>IF(FX!E39=0,FX!$C$108,IF(FX!E39=1,FX!$C$106,IF(FX!E39&gt;1,_xlfn.CONCAT(FX!E39," ",FX!$C$107))))</f>
        <v>All questions apply</v>
      </c>
      <c r="F45" s="460"/>
      <c r="G45" s="460"/>
      <c r="H45" s="80"/>
      <c r="I45" s="455"/>
      <c r="J45" s="457"/>
      <c r="K45" s="461" t="str">
        <f>IF(FX!E59=0,FX!$C$108,IF(FX!E59=1,FX!$C$106,IF(FX!E59&gt;1,_xlfn.CONCAT(FX!E59," ",FX!$C$107))))</f>
        <v>2 questions are not applicable</v>
      </c>
      <c r="L45" s="461"/>
      <c r="M45" s="461"/>
      <c r="N45" s="80"/>
      <c r="O45" s="135"/>
      <c r="P45" s="135"/>
      <c r="Q45" s="135"/>
      <c r="R45" s="135"/>
      <c r="S45" s="135"/>
      <c r="T45" s="80"/>
    </row>
    <row r="46" spans="2:20" s="81" customFormat="1" ht="18">
      <c r="B46" s="127"/>
      <c r="C46" s="132"/>
      <c r="D46" s="132"/>
      <c r="E46" s="127"/>
      <c r="F46" s="135"/>
      <c r="G46" s="80"/>
      <c r="H46" s="80"/>
      <c r="I46" s="132"/>
      <c r="J46" s="132"/>
      <c r="K46" s="133"/>
      <c r="L46" s="135"/>
      <c r="M46" s="135"/>
      <c r="N46" s="80"/>
      <c r="O46" s="133"/>
      <c r="P46" s="133"/>
      <c r="Q46" s="133"/>
      <c r="R46" s="127"/>
      <c r="S46" s="127"/>
      <c r="T46" s="127"/>
    </row>
    <row r="47" spans="2:20" s="81" customFormat="1"/>
    <row r="48" spans="2:20" s="81" customFormat="1"/>
    <row r="49" spans="2:2" s="81" customFormat="1"/>
    <row r="50" spans="2:2" s="81" customFormat="1"/>
    <row r="51" spans="2:2" s="81" customFormat="1" ht="18">
      <c r="B51" s="59"/>
    </row>
    <row r="52" spans="2:2" s="81" customFormat="1"/>
    <row r="53" spans="2:2" s="81" customFormat="1"/>
    <row r="54" spans="2:2" s="81" customFormat="1"/>
    <row r="55" spans="2:2" s="81" customFormat="1"/>
  </sheetData>
  <sheetProtection sheet="1" objects="1" scenarios="1" selectLockedCells="1"/>
  <mergeCells count="44">
    <mergeCell ref="C42:C45"/>
    <mergeCell ref="D42:D45"/>
    <mergeCell ref="I42:I45"/>
    <mergeCell ref="J42:J45"/>
    <mergeCell ref="E45:G45"/>
    <mergeCell ref="K45:M45"/>
    <mergeCell ref="P32:P35"/>
    <mergeCell ref="E35:G35"/>
    <mergeCell ref="K35:M35"/>
    <mergeCell ref="Q35:S35"/>
    <mergeCell ref="P37:P40"/>
    <mergeCell ref="E40:G40"/>
    <mergeCell ref="K40:M40"/>
    <mergeCell ref="Q40:S40"/>
    <mergeCell ref="C37:C40"/>
    <mergeCell ref="D37:D40"/>
    <mergeCell ref="I37:I40"/>
    <mergeCell ref="J37:J40"/>
    <mergeCell ref="O37:O40"/>
    <mergeCell ref="C32:C35"/>
    <mergeCell ref="D32:D35"/>
    <mergeCell ref="I32:I35"/>
    <mergeCell ref="J32:J35"/>
    <mergeCell ref="O32:O35"/>
    <mergeCell ref="O27:O30"/>
    <mergeCell ref="P27:P30"/>
    <mergeCell ref="E30:G30"/>
    <mergeCell ref="K30:M30"/>
    <mergeCell ref="Q30:S30"/>
    <mergeCell ref="C20:G20"/>
    <mergeCell ref="C27:C30"/>
    <mergeCell ref="D27:D30"/>
    <mergeCell ref="I27:I30"/>
    <mergeCell ref="J27:J30"/>
    <mergeCell ref="I20:M20"/>
    <mergeCell ref="I21:M21"/>
    <mergeCell ref="I22:M22"/>
    <mergeCell ref="O22:S22"/>
    <mergeCell ref="N14:O14"/>
    <mergeCell ref="K15:L15"/>
    <mergeCell ref="N15:O15"/>
    <mergeCell ref="K14:L14"/>
    <mergeCell ref="O20:S20"/>
    <mergeCell ref="O21:S21"/>
  </mergeCells>
  <conditionalFormatting sqref="E14 M14">
    <cfRule type="containsText" dxfId="19" priority="25" operator="containsText" text="Gold">
      <formula>NOT(ISERROR(SEARCH("Gold",E14)))</formula>
    </cfRule>
    <cfRule type="containsText" dxfId="18" priority="26" operator="containsText" text="Silver">
      <formula>NOT(ISERROR(SEARCH("Silver",E14)))</formula>
    </cfRule>
    <cfRule type="containsText" dxfId="17" priority="27" operator="containsText" text="Yet">
      <formula>NOT(ISERROR(SEARCH("Yet",E14)))</formula>
    </cfRule>
    <cfRule type="containsText" dxfId="16" priority="28" operator="containsText" text="Bronze">
      <formula>NOT(ISERROR(SEARCH("Bronze",E14)))</formula>
    </cfRule>
  </conditionalFormatting>
  <conditionalFormatting sqref="S14">
    <cfRule type="containsText" dxfId="15" priority="21" operator="containsText" text="Gold">
      <formula>NOT(ISERROR(SEARCH("Gold",S14)))</formula>
    </cfRule>
    <cfRule type="containsText" dxfId="14" priority="22" operator="containsText" text="Silver">
      <formula>NOT(ISERROR(SEARCH("Silver",S14)))</formula>
    </cfRule>
    <cfRule type="containsText" dxfId="13" priority="23" operator="containsText" text="Yet">
      <formula>NOT(ISERROR(SEARCH("Yet",S14)))</formula>
    </cfRule>
    <cfRule type="containsText" dxfId="12" priority="24" operator="containsText" text="Bronze">
      <formula>NOT(ISERROR(SEARCH("Bronze",S14)))</formula>
    </cfRule>
  </conditionalFormatting>
  <conditionalFormatting sqref="I20">
    <cfRule type="containsText" dxfId="11" priority="6" operator="containsText" text="Advancing">
      <formula>NOT(ISERROR(SEARCH("Advancing",I20)))</formula>
    </cfRule>
    <cfRule type="beginsWith" dxfId="10" priority="13" operator="beginsWith" text="Engaging">
      <formula>LEFT(I20,LEN("Engaging"))="Engaging"</formula>
    </cfRule>
    <cfRule type="containsText" dxfId="9" priority="14" stopIfTrue="1" operator="containsText" text="Not Yet Engaging">
      <formula>NOT(ISERROR(SEARCH("Not Yet Engaging",I20)))</formula>
    </cfRule>
  </conditionalFormatting>
  <conditionalFormatting sqref="O20">
    <cfRule type="containsText" dxfId="8" priority="11" stopIfTrue="1" operator="containsText" text="Not Yet CSDDD Claim TBC">
      <formula>NOT(ISERROR(SEARCH("Not Yet CSDDD Claim TBC",O20)))</formula>
    </cfRule>
    <cfRule type="containsText" dxfId="7" priority="12" operator="containsText" text="CSDDD Claim TBC">
      <formula>NOT(ISERROR(SEARCH("CSDDD Claim TBC",O20)))</formula>
    </cfRule>
  </conditionalFormatting>
  <conditionalFormatting sqref="C20">
    <cfRule type="containsText" dxfId="6" priority="7" operator="containsText" text="Gold">
      <formula>NOT(ISERROR(SEARCH("Gold",C20)))</formula>
    </cfRule>
    <cfRule type="containsText" dxfId="5" priority="8" operator="containsText" text="Silver">
      <formula>NOT(ISERROR(SEARCH("Silver",C20)))</formula>
    </cfRule>
    <cfRule type="containsText" dxfId="4" priority="9" operator="containsText" text="Yet">
      <formula>NOT(ISERROR(SEARCH("Yet",C20)))</formula>
    </cfRule>
    <cfRule type="containsText" dxfId="3" priority="10" operator="containsText" text="Bronze">
      <formula>NOT(ISERROR(SEARCH("Bronze",C20)))</formula>
    </cfRule>
  </conditionalFormatting>
  <conditionalFormatting sqref="I20:M20">
    <cfRule type="cellIs" dxfId="2" priority="1" operator="equal">
      <formula>"Leading"</formula>
    </cfRule>
  </conditionalFormatting>
  <conditionalFormatting sqref="I22:M22">
    <cfRule type="dataBar" priority="5">
      <dataBar>
        <cfvo type="num" val="0"/>
        <cfvo type="num" val="1"/>
        <color rgb="FF2D953E"/>
      </dataBar>
      <extLst>
        <ext xmlns:x14="http://schemas.microsoft.com/office/spreadsheetml/2009/9/main" uri="{B025F937-C7B1-47D3-B67F-A62EFF666E3E}">
          <x14:id>{9560F7E0-3FB3-4314-B263-FE75C77DE12E}</x14:id>
        </ext>
      </extLst>
    </cfRule>
  </conditionalFormatting>
  <conditionalFormatting sqref="O22:S22">
    <cfRule type="dataBar" priority="4">
      <dataBar>
        <cfvo type="num" val="0"/>
        <cfvo type="num" val="1"/>
        <color rgb="FFC00000"/>
      </dataBar>
      <extLst>
        <ext xmlns:x14="http://schemas.microsoft.com/office/spreadsheetml/2009/9/main" uri="{B025F937-C7B1-47D3-B67F-A62EFF666E3E}">
          <x14:id>{FB774BA4-5587-4961-B3CB-DA30EE868289}</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560F7E0-3FB3-4314-B263-FE75C77DE12E}">
            <x14:dataBar minLength="0" maxLength="100" border="1" gradient="0">
              <x14:cfvo type="num">
                <xm:f>0</xm:f>
              </x14:cfvo>
              <x14:cfvo type="num">
                <xm:f>1</xm:f>
              </x14:cfvo>
              <x14:borderColor theme="0" tint="-4.9989318521683403E-2"/>
              <x14:negativeFillColor rgb="FFFF0000"/>
              <x14:axisColor rgb="FF000000"/>
            </x14:dataBar>
          </x14:cfRule>
          <xm:sqref>I22:M22</xm:sqref>
        </x14:conditionalFormatting>
        <x14:conditionalFormatting xmlns:xm="http://schemas.microsoft.com/office/excel/2006/main">
          <x14:cfRule type="dataBar" id="{FB774BA4-5587-4961-B3CB-DA30EE868289}">
            <x14:dataBar minLength="0" maxLength="100" border="1" gradient="0">
              <x14:cfvo type="num">
                <xm:f>0</xm:f>
              </x14:cfvo>
              <x14:cfvo type="num">
                <xm:f>1</xm:f>
              </x14:cfvo>
              <x14:borderColor theme="0"/>
              <x14:negativeFillColor rgb="FFFF0000"/>
              <x14:axisColor rgb="FF000000"/>
            </x14:dataBar>
          </x14:cfRule>
          <xm:sqref>O22:S22</xm:sqref>
        </x14:conditionalFormatting>
        <x14:conditionalFormatting xmlns:xm="http://schemas.microsoft.com/office/excel/2006/main">
          <x14:cfRule type="expression" priority="3" id="{71D6C4DD-3930-48E9-8EA4-703C26C25737}">
            <xm:f>References!$B$11</xm:f>
            <x14:dxf>
              <font>
                <color theme="1"/>
              </font>
            </x14:dxf>
          </x14:cfRule>
          <xm:sqref>I21:M21</xm:sqref>
        </x14:conditionalFormatting>
        <x14:conditionalFormatting xmlns:xm="http://schemas.microsoft.com/office/excel/2006/main">
          <x14:cfRule type="expression" priority="2" id="{AE489B4D-90D8-4854-9CB1-8E42966DE87D}">
            <xm:f>References!$B$12</xm:f>
            <x14:dxf>
              <font>
                <color theme="1"/>
              </font>
            </x14:dxf>
          </x14:cfRule>
          <xm:sqref>O21:S21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Glossary"/>
  <dimension ref="B9:D259"/>
  <sheetViews>
    <sheetView showGridLines="0" showRowColHeaders="0" topLeftCell="A70" zoomScaleNormal="100" workbookViewId="0">
      <selection activeCell="G10" sqref="G10"/>
    </sheetView>
  </sheetViews>
  <sheetFormatPr defaultColWidth="10.453125" defaultRowHeight="15" customHeight="1"/>
  <cols>
    <col min="1" max="1" width="6" customWidth="1"/>
    <col min="2" max="2" width="27.453125" customWidth="1"/>
    <col min="3" max="3" width="39.453125" bestFit="1" customWidth="1"/>
    <col min="4" max="4" width="83.453125" style="2" customWidth="1"/>
  </cols>
  <sheetData>
    <row r="9" spans="2:4" ht="18.5">
      <c r="B9" s="4" t="s">
        <v>2</v>
      </c>
      <c r="C9" s="4" t="s">
        <v>628</v>
      </c>
      <c r="D9" s="3" t="s">
        <v>3</v>
      </c>
    </row>
    <row r="10" spans="2:4" ht="46.5">
      <c r="B10" s="5" t="s">
        <v>4</v>
      </c>
      <c r="C10" s="5"/>
      <c r="D10" s="5" t="s">
        <v>5</v>
      </c>
    </row>
    <row r="11" spans="2:4" ht="15.5">
      <c r="B11" s="5" t="s">
        <v>6</v>
      </c>
      <c r="C11" s="5"/>
      <c r="D11" s="5" t="s">
        <v>7</v>
      </c>
    </row>
    <row r="12" spans="2:4" ht="46.5">
      <c r="B12" s="5" t="s">
        <v>8</v>
      </c>
      <c r="C12" s="5" t="s">
        <v>9</v>
      </c>
      <c r="D12" s="5" t="s">
        <v>10</v>
      </c>
    </row>
    <row r="13" spans="2:4" ht="15.5">
      <c r="B13" s="5" t="s">
        <v>11</v>
      </c>
      <c r="C13" s="5" t="s">
        <v>12</v>
      </c>
      <c r="D13" s="5" t="s">
        <v>13</v>
      </c>
    </row>
    <row r="14" spans="2:4" ht="15.5">
      <c r="B14" s="5" t="s">
        <v>14</v>
      </c>
      <c r="C14" s="5"/>
      <c r="D14" s="5" t="s">
        <v>15</v>
      </c>
    </row>
    <row r="15" spans="2:4" ht="46.5">
      <c r="B15" s="5" t="s">
        <v>1</v>
      </c>
      <c r="C15" s="5"/>
      <c r="D15" s="5" t="s">
        <v>16</v>
      </c>
    </row>
    <row r="16" spans="2:4" ht="93">
      <c r="B16" s="5" t="s">
        <v>17</v>
      </c>
      <c r="C16" s="5" t="s">
        <v>18</v>
      </c>
      <c r="D16" s="5" t="s">
        <v>19</v>
      </c>
    </row>
    <row r="17" spans="2:4" ht="31">
      <c r="B17" s="5" t="s">
        <v>20</v>
      </c>
      <c r="C17" s="5" t="s">
        <v>21</v>
      </c>
      <c r="D17" s="5" t="s">
        <v>22</v>
      </c>
    </row>
    <row r="18" spans="2:4" ht="77.5">
      <c r="B18" s="5" t="s">
        <v>23</v>
      </c>
      <c r="C18" s="5" t="s">
        <v>24</v>
      </c>
      <c r="D18" s="5" t="s">
        <v>25</v>
      </c>
    </row>
    <row r="19" spans="2:4" ht="15.5">
      <c r="B19" s="5" t="s">
        <v>26</v>
      </c>
      <c r="C19" s="5" t="s">
        <v>27</v>
      </c>
      <c r="D19" s="5" t="s">
        <v>28</v>
      </c>
    </row>
    <row r="20" spans="2:4" ht="15.5">
      <c r="B20" s="5" t="s">
        <v>29</v>
      </c>
      <c r="C20" s="5"/>
      <c r="D20" s="5" t="s">
        <v>30</v>
      </c>
    </row>
    <row r="21" spans="2:4" ht="15.5">
      <c r="B21" s="5" t="s">
        <v>31</v>
      </c>
      <c r="C21" s="5"/>
      <c r="D21" s="5" t="s">
        <v>32</v>
      </c>
    </row>
    <row r="22" spans="2:4" ht="93">
      <c r="B22" s="5" t="s">
        <v>33</v>
      </c>
      <c r="C22" s="5" t="s">
        <v>34</v>
      </c>
      <c r="D22" s="5" t="s">
        <v>35</v>
      </c>
    </row>
    <row r="23" spans="2:4" ht="31">
      <c r="B23" s="5" t="s">
        <v>36</v>
      </c>
      <c r="C23" s="5"/>
      <c r="D23" s="5" t="s">
        <v>37</v>
      </c>
    </row>
    <row r="24" spans="2:4" ht="62">
      <c r="B24" s="5" t="s">
        <v>38</v>
      </c>
      <c r="C24" s="5" t="s">
        <v>39</v>
      </c>
      <c r="D24" s="5" t="s">
        <v>40</v>
      </c>
    </row>
    <row r="25" spans="2:4" ht="93">
      <c r="B25" s="5" t="s">
        <v>41</v>
      </c>
      <c r="C25" s="5"/>
      <c r="D25" s="5" t="s">
        <v>42</v>
      </c>
    </row>
    <row r="26" spans="2:4" ht="15.5">
      <c r="B26" s="5" t="s">
        <v>43</v>
      </c>
      <c r="C26" s="5"/>
      <c r="D26" s="5" t="s">
        <v>44</v>
      </c>
    </row>
    <row r="27" spans="2:4" ht="31">
      <c r="B27" s="5" t="s">
        <v>45</v>
      </c>
      <c r="C27" s="5" t="s">
        <v>46</v>
      </c>
      <c r="D27" s="5" t="s">
        <v>47</v>
      </c>
    </row>
    <row r="28" spans="2:4" ht="46.5">
      <c r="B28" s="5" t="s">
        <v>48</v>
      </c>
      <c r="C28" s="5" t="s">
        <v>49</v>
      </c>
      <c r="D28" s="5" t="s">
        <v>50</v>
      </c>
    </row>
    <row r="29" spans="2:4" ht="31">
      <c r="B29" s="5" t="s">
        <v>51</v>
      </c>
      <c r="C29" s="5" t="s">
        <v>52</v>
      </c>
      <c r="D29" s="5" t="s">
        <v>53</v>
      </c>
    </row>
    <row r="30" spans="2:4" ht="31">
      <c r="B30" s="5" t="s">
        <v>54</v>
      </c>
      <c r="C30" s="5"/>
      <c r="D30" s="5" t="s">
        <v>55</v>
      </c>
    </row>
    <row r="31" spans="2:4" ht="15.5">
      <c r="B31" s="5" t="s">
        <v>56</v>
      </c>
      <c r="C31" s="5" t="s">
        <v>57</v>
      </c>
      <c r="D31" s="5" t="s">
        <v>58</v>
      </c>
    </row>
    <row r="32" spans="2:4" ht="15.5">
      <c r="B32" s="5" t="s">
        <v>59</v>
      </c>
      <c r="C32" s="5" t="s">
        <v>60</v>
      </c>
      <c r="D32" s="5" t="s">
        <v>61</v>
      </c>
    </row>
    <row r="33" spans="2:4" ht="15.5">
      <c r="B33" s="5" t="s">
        <v>62</v>
      </c>
      <c r="C33" s="5" t="s">
        <v>63</v>
      </c>
      <c r="D33" s="5" t="s">
        <v>64</v>
      </c>
    </row>
    <row r="34" spans="2:4" ht="31">
      <c r="B34" s="5" t="s">
        <v>65</v>
      </c>
      <c r="C34" s="5" t="s">
        <v>66</v>
      </c>
      <c r="D34" s="5" t="s">
        <v>67</v>
      </c>
    </row>
    <row r="35" spans="2:4" ht="46.5">
      <c r="B35" s="5" t="s">
        <v>68</v>
      </c>
      <c r="C35" s="5" t="s">
        <v>69</v>
      </c>
      <c r="D35" s="5" t="s">
        <v>70</v>
      </c>
    </row>
    <row r="36" spans="2:4" ht="15.5">
      <c r="B36" s="5" t="s">
        <v>71</v>
      </c>
      <c r="C36" s="5" t="s">
        <v>72</v>
      </c>
      <c r="D36" s="5" t="s">
        <v>73</v>
      </c>
    </row>
    <row r="37" spans="2:4" ht="15.5">
      <c r="B37" s="5" t="s">
        <v>74</v>
      </c>
      <c r="C37" s="5" t="s">
        <v>75</v>
      </c>
      <c r="D37" s="5" t="s">
        <v>76</v>
      </c>
    </row>
    <row r="38" spans="2:4" ht="15.5">
      <c r="B38" s="5" t="s">
        <v>77</v>
      </c>
      <c r="C38" s="5"/>
      <c r="D38" s="5" t="s">
        <v>78</v>
      </c>
    </row>
    <row r="39" spans="2:4" ht="31">
      <c r="B39" s="5" t="s">
        <v>79</v>
      </c>
      <c r="C39" s="5"/>
      <c r="D39" s="5" t="s">
        <v>80</v>
      </c>
    </row>
    <row r="40" spans="2:4" ht="31">
      <c r="B40" s="5" t="s">
        <v>81</v>
      </c>
      <c r="C40" s="5"/>
      <c r="D40" s="5" t="s">
        <v>82</v>
      </c>
    </row>
    <row r="41" spans="2:4" ht="62">
      <c r="B41" s="5" t="s">
        <v>83</v>
      </c>
      <c r="C41" s="5" t="s">
        <v>84</v>
      </c>
      <c r="D41" s="5" t="s">
        <v>85</v>
      </c>
    </row>
    <row r="42" spans="2:4" ht="31">
      <c r="B42" s="5" t="s">
        <v>86</v>
      </c>
      <c r="C42" s="5" t="s">
        <v>87</v>
      </c>
      <c r="D42" s="5" t="s">
        <v>88</v>
      </c>
    </row>
    <row r="43" spans="2:4" ht="31">
      <c r="B43" s="5" t="s">
        <v>89</v>
      </c>
      <c r="C43" s="5"/>
      <c r="D43" s="5" t="s">
        <v>90</v>
      </c>
    </row>
    <row r="44" spans="2:4" ht="62">
      <c r="B44" s="5" t="s">
        <v>91</v>
      </c>
      <c r="C44" s="5"/>
      <c r="D44" s="5" t="s">
        <v>92</v>
      </c>
    </row>
    <row r="45" spans="2:4" ht="31">
      <c r="B45" s="5" t="s">
        <v>93</v>
      </c>
      <c r="C45" s="5"/>
      <c r="D45" s="5" t="s">
        <v>94</v>
      </c>
    </row>
    <row r="46" spans="2:4" ht="31">
      <c r="B46" s="5" t="s">
        <v>95</v>
      </c>
      <c r="C46" s="5"/>
      <c r="D46" s="5" t="s">
        <v>96</v>
      </c>
    </row>
    <row r="47" spans="2:4" ht="15.5">
      <c r="B47" s="5" t="s">
        <v>97</v>
      </c>
      <c r="C47" s="5"/>
      <c r="D47" s="5" t="s">
        <v>15</v>
      </c>
    </row>
    <row r="48" spans="2:4" ht="31">
      <c r="B48" s="5" t="s">
        <v>98</v>
      </c>
      <c r="C48" s="5"/>
      <c r="D48" s="5" t="s">
        <v>99</v>
      </c>
    </row>
    <row r="49" spans="2:4" ht="46.5">
      <c r="B49" s="5" t="s">
        <v>100</v>
      </c>
      <c r="C49" s="5" t="s">
        <v>101</v>
      </c>
      <c r="D49" s="5" t="s">
        <v>102</v>
      </c>
    </row>
    <row r="50" spans="2:4" ht="15.5">
      <c r="B50" s="5" t="s">
        <v>103</v>
      </c>
      <c r="C50" s="5" t="s">
        <v>104</v>
      </c>
      <c r="D50" s="5" t="s">
        <v>105</v>
      </c>
    </row>
    <row r="51" spans="2:4" ht="46.5">
      <c r="B51" s="5" t="s">
        <v>106</v>
      </c>
      <c r="C51" s="5" t="s">
        <v>107</v>
      </c>
      <c r="D51" s="5" t="s">
        <v>108</v>
      </c>
    </row>
    <row r="52" spans="2:4" ht="15.5">
      <c r="B52" s="5" t="s">
        <v>109</v>
      </c>
      <c r="C52" s="5"/>
      <c r="D52" s="5" t="s">
        <v>110</v>
      </c>
    </row>
    <row r="53" spans="2:4" ht="15.5">
      <c r="B53" s="5" t="s">
        <v>111</v>
      </c>
      <c r="C53" s="5"/>
      <c r="D53" s="5" t="s">
        <v>78</v>
      </c>
    </row>
    <row r="54" spans="2:4" ht="46.5">
      <c r="B54" s="5" t="s">
        <v>112</v>
      </c>
      <c r="C54" s="5" t="s">
        <v>113</v>
      </c>
      <c r="D54" s="5" t="s">
        <v>114</v>
      </c>
    </row>
    <row r="55" spans="2:4" ht="31">
      <c r="B55" s="5" t="s">
        <v>115</v>
      </c>
      <c r="C55" s="5" t="s">
        <v>116</v>
      </c>
      <c r="D55" s="5" t="s">
        <v>117</v>
      </c>
    </row>
    <row r="56" spans="2:4" ht="62">
      <c r="B56" s="5" t="s">
        <v>118</v>
      </c>
      <c r="C56" s="5" t="s">
        <v>119</v>
      </c>
      <c r="D56" s="5" t="s">
        <v>120</v>
      </c>
    </row>
    <row r="57" spans="2:4" ht="15.5">
      <c r="B57" s="5" t="s">
        <v>121</v>
      </c>
      <c r="C57" s="5" t="s">
        <v>122</v>
      </c>
      <c r="D57" s="5" t="s">
        <v>123</v>
      </c>
    </row>
    <row r="58" spans="2:4" ht="15.5">
      <c r="B58" s="5" t="s">
        <v>124</v>
      </c>
      <c r="C58" s="5"/>
      <c r="D58" s="5" t="s">
        <v>125</v>
      </c>
    </row>
    <row r="59" spans="2:4" ht="31">
      <c r="B59" s="5" t="s">
        <v>126</v>
      </c>
      <c r="C59" s="5"/>
      <c r="D59" s="5" t="s">
        <v>127</v>
      </c>
    </row>
    <row r="60" spans="2:4" ht="31">
      <c r="B60" s="5" t="s">
        <v>128</v>
      </c>
      <c r="C60" s="5" t="s">
        <v>129</v>
      </c>
      <c r="D60" s="5" t="s">
        <v>130</v>
      </c>
    </row>
    <row r="61" spans="2:4" ht="46.5">
      <c r="B61" s="5" t="s">
        <v>131</v>
      </c>
      <c r="C61" s="5" t="s">
        <v>132</v>
      </c>
      <c r="D61" s="5" t="s">
        <v>133</v>
      </c>
    </row>
    <row r="62" spans="2:4" ht="46.5">
      <c r="B62" s="5" t="s">
        <v>134</v>
      </c>
      <c r="C62" s="5" t="s">
        <v>135</v>
      </c>
      <c r="D62" s="5" t="s">
        <v>136</v>
      </c>
    </row>
    <row r="63" spans="2:4" ht="46.5">
      <c r="B63" s="5" t="s">
        <v>137</v>
      </c>
      <c r="C63" s="5" t="s">
        <v>138</v>
      </c>
      <c r="D63" s="5" t="s">
        <v>139</v>
      </c>
    </row>
    <row r="64" spans="2:4" ht="46.5">
      <c r="B64" s="5" t="s">
        <v>140</v>
      </c>
      <c r="C64" s="5"/>
      <c r="D64" s="5" t="s">
        <v>141</v>
      </c>
    </row>
    <row r="65" spans="2:4" ht="62">
      <c r="B65" s="5" t="s">
        <v>142</v>
      </c>
      <c r="C65" s="5"/>
      <c r="D65" s="5" t="s">
        <v>143</v>
      </c>
    </row>
    <row r="66" spans="2:4" ht="15.5">
      <c r="B66" s="5" t="s">
        <v>144</v>
      </c>
      <c r="C66" s="5"/>
      <c r="D66" s="5" t="s">
        <v>145</v>
      </c>
    </row>
    <row r="67" spans="2:4" ht="93">
      <c r="B67" s="5" t="s">
        <v>146</v>
      </c>
      <c r="C67" s="5"/>
      <c r="D67" s="5" t="s">
        <v>147</v>
      </c>
    </row>
    <row r="68" spans="2:4" ht="15.5">
      <c r="B68" s="5" t="s">
        <v>148</v>
      </c>
      <c r="C68" s="5" t="s">
        <v>26</v>
      </c>
      <c r="D68" s="5" t="s">
        <v>28</v>
      </c>
    </row>
    <row r="69" spans="2:4" ht="15.5">
      <c r="B69" s="5" t="s">
        <v>149</v>
      </c>
      <c r="C69" s="5"/>
      <c r="D69" s="5" t="s">
        <v>150</v>
      </c>
    </row>
    <row r="70" spans="2:4" ht="31">
      <c r="B70" s="5" t="s">
        <v>151</v>
      </c>
      <c r="C70" s="5" t="s">
        <v>152</v>
      </c>
      <c r="D70" s="5" t="s">
        <v>153</v>
      </c>
    </row>
    <row r="71" spans="2:4" ht="46.5">
      <c r="B71" s="5" t="s">
        <v>154</v>
      </c>
      <c r="C71" s="5" t="s">
        <v>155</v>
      </c>
      <c r="D71" s="5" t="s">
        <v>156</v>
      </c>
    </row>
    <row r="72" spans="2:4" ht="31">
      <c r="B72" s="5" t="s">
        <v>157</v>
      </c>
      <c r="C72" s="5" t="s">
        <v>158</v>
      </c>
      <c r="D72" s="5" t="s">
        <v>159</v>
      </c>
    </row>
    <row r="73" spans="2:4" ht="15.5">
      <c r="B73" s="5" t="s">
        <v>160</v>
      </c>
      <c r="C73" s="5" t="s">
        <v>161</v>
      </c>
      <c r="D73" s="5" t="s">
        <v>162</v>
      </c>
    </row>
    <row r="74" spans="2:4" ht="46.5">
      <c r="B74" s="5" t="s">
        <v>163</v>
      </c>
      <c r="C74" s="5" t="s">
        <v>164</v>
      </c>
      <c r="D74" s="5" t="s">
        <v>165</v>
      </c>
    </row>
    <row r="75" spans="2:4" ht="15.5">
      <c r="B75" s="5" t="s">
        <v>166</v>
      </c>
      <c r="C75" s="5"/>
      <c r="D75" s="5" t="s">
        <v>167</v>
      </c>
    </row>
    <row r="76" spans="2:4" ht="15.5">
      <c r="B76" s="5" t="s">
        <v>168</v>
      </c>
      <c r="C76" s="5" t="s">
        <v>169</v>
      </c>
      <c r="D76" s="5" t="s">
        <v>170</v>
      </c>
    </row>
    <row r="77" spans="2:4" ht="31">
      <c r="B77" s="5" t="s">
        <v>171</v>
      </c>
      <c r="C77" s="5"/>
      <c r="D77" s="5" t="s">
        <v>172</v>
      </c>
    </row>
    <row r="78" spans="2:4" ht="62">
      <c r="B78" s="5" t="s">
        <v>173</v>
      </c>
      <c r="C78" s="5"/>
      <c r="D78" s="5" t="s">
        <v>174</v>
      </c>
    </row>
    <row r="79" spans="2:4" ht="15.5">
      <c r="B79" s="5" t="s">
        <v>52</v>
      </c>
      <c r="C79" s="5"/>
      <c r="D79" s="5" t="s">
        <v>175</v>
      </c>
    </row>
    <row r="80" spans="2:4" ht="15.5">
      <c r="B80" s="5" t="s">
        <v>176</v>
      </c>
      <c r="C80" s="5"/>
      <c r="D80" s="5" t="s">
        <v>177</v>
      </c>
    </row>
    <row r="81" spans="2:4" ht="62">
      <c r="B81" s="5" t="s">
        <v>178</v>
      </c>
      <c r="C81" s="5" t="s">
        <v>179</v>
      </c>
      <c r="D81" s="5" t="s">
        <v>180</v>
      </c>
    </row>
    <row r="82" spans="2:4" ht="31">
      <c r="B82" s="5" t="s">
        <v>181</v>
      </c>
      <c r="C82" s="5" t="s">
        <v>182</v>
      </c>
      <c r="D82" s="5" t="s">
        <v>183</v>
      </c>
    </row>
    <row r="83" spans="2:4" ht="15.5">
      <c r="B83" s="5" t="s">
        <v>184</v>
      </c>
      <c r="C83" s="5" t="s">
        <v>185</v>
      </c>
      <c r="D83" s="5" t="s">
        <v>186</v>
      </c>
    </row>
    <row r="84" spans="2:4" ht="15.5">
      <c r="B84" s="5" t="s">
        <v>187</v>
      </c>
      <c r="C84" s="5" t="s">
        <v>188</v>
      </c>
      <c r="D84" s="5" t="s">
        <v>189</v>
      </c>
    </row>
    <row r="85" spans="2:4" ht="15.5">
      <c r="B85" s="5" t="s">
        <v>190</v>
      </c>
      <c r="C85" s="5"/>
      <c r="D85" s="5" t="s">
        <v>191</v>
      </c>
    </row>
    <row r="86" spans="2:4" ht="46.5">
      <c r="B86" s="5" t="s">
        <v>192</v>
      </c>
      <c r="C86" s="5"/>
      <c r="D86" s="5" t="s">
        <v>193</v>
      </c>
    </row>
    <row r="87" spans="2:4" ht="15.5">
      <c r="B87" s="5" t="s">
        <v>194</v>
      </c>
      <c r="C87" s="5"/>
      <c r="D87" s="5" t="s">
        <v>195</v>
      </c>
    </row>
    <row r="88" spans="2:4" ht="46.5">
      <c r="B88" s="5" t="s">
        <v>196</v>
      </c>
      <c r="C88" s="5"/>
      <c r="D88" s="5" t="s">
        <v>197</v>
      </c>
    </row>
    <row r="89" spans="2:4" ht="31">
      <c r="B89" s="5" t="s">
        <v>198</v>
      </c>
      <c r="C89" s="5" t="s">
        <v>199</v>
      </c>
      <c r="D89" s="5" t="s">
        <v>200</v>
      </c>
    </row>
    <row r="90" spans="2:4" ht="31">
      <c r="B90" s="5" t="s">
        <v>201</v>
      </c>
      <c r="C90" s="5"/>
      <c r="D90" s="5" t="s">
        <v>202</v>
      </c>
    </row>
    <row r="91" spans="2:4" ht="62">
      <c r="B91" s="5" t="s">
        <v>203</v>
      </c>
      <c r="C91" s="5"/>
      <c r="D91" s="5" t="s">
        <v>204</v>
      </c>
    </row>
    <row r="92" spans="2:4" ht="31">
      <c r="B92" s="5" t="s">
        <v>205</v>
      </c>
      <c r="C92" s="5"/>
      <c r="D92" s="5" t="s">
        <v>206</v>
      </c>
    </row>
    <row r="93" spans="2:4" ht="31">
      <c r="B93" s="5" t="s">
        <v>207</v>
      </c>
      <c r="C93" s="5"/>
      <c r="D93" s="5" t="s">
        <v>208</v>
      </c>
    </row>
    <row r="94" spans="2:4" ht="46.5">
      <c r="B94" s="5" t="s">
        <v>209</v>
      </c>
      <c r="C94" s="5"/>
      <c r="D94" s="5" t="s">
        <v>210</v>
      </c>
    </row>
    <row r="95" spans="2:4" ht="62">
      <c r="B95" s="5" t="s">
        <v>211</v>
      </c>
      <c r="C95" s="5"/>
      <c r="D95" s="5" t="s">
        <v>212</v>
      </c>
    </row>
    <row r="96" spans="2:4" ht="46.5">
      <c r="B96" s="5" t="s">
        <v>213</v>
      </c>
      <c r="C96" s="5" t="s">
        <v>214</v>
      </c>
      <c r="D96" s="5" t="s">
        <v>215</v>
      </c>
    </row>
    <row r="97" spans="2:4" ht="15.5">
      <c r="B97" s="5" t="s">
        <v>216</v>
      </c>
      <c r="C97" s="5"/>
      <c r="D97" s="5" t="s">
        <v>15</v>
      </c>
    </row>
    <row r="98" spans="2:4" ht="31">
      <c r="B98" s="5" t="s">
        <v>217</v>
      </c>
      <c r="C98" s="5" t="s">
        <v>218</v>
      </c>
      <c r="D98" s="5" t="s">
        <v>219</v>
      </c>
    </row>
    <row r="99" spans="2:4" ht="62">
      <c r="B99" s="5" t="s">
        <v>220</v>
      </c>
      <c r="C99" s="5"/>
      <c r="D99" s="5" t="s">
        <v>221</v>
      </c>
    </row>
    <row r="100" spans="2:4" ht="62">
      <c r="B100" s="5" t="s">
        <v>222</v>
      </c>
      <c r="C100" s="5"/>
      <c r="D100" s="5" t="s">
        <v>223</v>
      </c>
    </row>
    <row r="101" spans="2:4" ht="46.5">
      <c r="B101" s="5" t="s">
        <v>224</v>
      </c>
      <c r="C101" s="5"/>
      <c r="D101" s="5" t="s">
        <v>225</v>
      </c>
    </row>
    <row r="102" spans="2:4" ht="31">
      <c r="B102" s="5" t="s">
        <v>226</v>
      </c>
      <c r="C102" s="5"/>
      <c r="D102" s="5" t="s">
        <v>227</v>
      </c>
    </row>
    <row r="103" spans="2:4" ht="31">
      <c r="B103" s="5" t="s">
        <v>228</v>
      </c>
      <c r="C103" s="5"/>
      <c r="D103" s="5" t="s">
        <v>229</v>
      </c>
    </row>
    <row r="104" spans="2:4" ht="15.5">
      <c r="B104" s="5" t="s">
        <v>230</v>
      </c>
      <c r="C104" s="5" t="s">
        <v>231</v>
      </c>
      <c r="D104" s="5" t="s">
        <v>232</v>
      </c>
    </row>
    <row r="105" spans="2:4" ht="15.5">
      <c r="B105" s="5" t="s">
        <v>233</v>
      </c>
      <c r="C105" s="5"/>
      <c r="D105" s="5" t="s">
        <v>234</v>
      </c>
    </row>
    <row r="106" spans="2:4" ht="15.5">
      <c r="B106" s="5" t="s">
        <v>235</v>
      </c>
      <c r="C106" s="5" t="s">
        <v>236</v>
      </c>
      <c r="D106" s="5" t="s">
        <v>237</v>
      </c>
    </row>
    <row r="107" spans="2:4" ht="46.5">
      <c r="B107" s="5" t="s">
        <v>238</v>
      </c>
      <c r="C107" s="5" t="s">
        <v>239</v>
      </c>
      <c r="D107" s="5" t="s">
        <v>240</v>
      </c>
    </row>
    <row r="108" spans="2:4" ht="31">
      <c r="B108" s="5" t="s">
        <v>241</v>
      </c>
      <c r="C108" s="5" t="s">
        <v>242</v>
      </c>
      <c r="D108" s="5" t="s">
        <v>243</v>
      </c>
    </row>
    <row r="109" spans="2:4" ht="31">
      <c r="B109" s="5" t="s">
        <v>244</v>
      </c>
      <c r="C109" s="5" t="s">
        <v>245</v>
      </c>
      <c r="D109" s="5" t="s">
        <v>246</v>
      </c>
    </row>
    <row r="110" spans="2:4" ht="46.5">
      <c r="B110" s="5" t="s">
        <v>247</v>
      </c>
      <c r="C110" s="5" t="s">
        <v>248</v>
      </c>
      <c r="D110" s="5" t="s">
        <v>249</v>
      </c>
    </row>
    <row r="111" spans="2:4" ht="31">
      <c r="B111" s="5" t="s">
        <v>250</v>
      </c>
      <c r="C111" s="5"/>
      <c r="D111" s="5" t="s">
        <v>251</v>
      </c>
    </row>
    <row r="112" spans="2:4" ht="62">
      <c r="B112" s="5" t="s">
        <v>252</v>
      </c>
      <c r="C112" s="5" t="s">
        <v>253</v>
      </c>
      <c r="D112" s="5" t="s">
        <v>254</v>
      </c>
    </row>
    <row r="113" spans="2:4" ht="15.5">
      <c r="B113" s="5" t="s">
        <v>255</v>
      </c>
      <c r="C113" s="5"/>
      <c r="D113" s="5" t="s">
        <v>256</v>
      </c>
    </row>
    <row r="114" spans="2:4" ht="15.5">
      <c r="B114" s="5" t="s">
        <v>257</v>
      </c>
      <c r="C114" s="5" t="s">
        <v>258</v>
      </c>
      <c r="D114" s="5" t="s">
        <v>259</v>
      </c>
    </row>
    <row r="115" spans="2:4" ht="77.5">
      <c r="B115" s="5" t="s">
        <v>260</v>
      </c>
      <c r="C115" s="5" t="s">
        <v>261</v>
      </c>
      <c r="D115" s="5" t="s">
        <v>262</v>
      </c>
    </row>
    <row r="116" spans="2:4" ht="31">
      <c r="B116" s="5" t="s">
        <v>263</v>
      </c>
      <c r="C116" s="5" t="s">
        <v>264</v>
      </c>
      <c r="D116" s="5" t="s">
        <v>265</v>
      </c>
    </row>
    <row r="117" spans="2:4" ht="31">
      <c r="B117" s="5" t="s">
        <v>266</v>
      </c>
      <c r="C117" s="5" t="s">
        <v>267</v>
      </c>
      <c r="D117" s="5" t="s">
        <v>268</v>
      </c>
    </row>
    <row r="118" spans="2:4" ht="31">
      <c r="B118" s="5" t="s">
        <v>269</v>
      </c>
      <c r="C118" s="5"/>
      <c r="D118" s="5" t="s">
        <v>270</v>
      </c>
    </row>
    <row r="119" spans="2:4" ht="46.5">
      <c r="B119" s="5" t="s">
        <v>271</v>
      </c>
      <c r="C119" s="5"/>
      <c r="D119" s="5" t="s">
        <v>272</v>
      </c>
    </row>
    <row r="120" spans="2:4" ht="31">
      <c r="B120" s="5" t="s">
        <v>273</v>
      </c>
      <c r="C120" s="5" t="s">
        <v>274</v>
      </c>
      <c r="D120" s="5" t="s">
        <v>275</v>
      </c>
    </row>
    <row r="121" spans="2:4" ht="31">
      <c r="B121" s="5" t="s">
        <v>276</v>
      </c>
      <c r="C121" s="5"/>
      <c r="D121" s="5" t="s">
        <v>277</v>
      </c>
    </row>
    <row r="122" spans="2:4" ht="77.5">
      <c r="B122" s="5" t="s">
        <v>278</v>
      </c>
      <c r="C122" s="5"/>
      <c r="D122" s="5" t="s">
        <v>279</v>
      </c>
    </row>
    <row r="123" spans="2:4" ht="46.5">
      <c r="B123" s="5" t="s">
        <v>280</v>
      </c>
      <c r="C123" s="5"/>
      <c r="D123" s="5" t="s">
        <v>281</v>
      </c>
    </row>
    <row r="124" spans="2:4" ht="15.5">
      <c r="B124" s="5" t="s">
        <v>282</v>
      </c>
      <c r="C124" s="5"/>
      <c r="D124" s="5" t="s">
        <v>28</v>
      </c>
    </row>
    <row r="125" spans="2:4" ht="15.5">
      <c r="B125" s="5" t="s">
        <v>283</v>
      </c>
      <c r="C125" s="5"/>
      <c r="D125" s="5" t="s">
        <v>284</v>
      </c>
    </row>
    <row r="126" spans="2:4" ht="31">
      <c r="B126" s="5" t="s">
        <v>285</v>
      </c>
      <c r="C126" s="5"/>
      <c r="D126" s="5" t="s">
        <v>286</v>
      </c>
    </row>
    <row r="127" spans="2:4" ht="46.5">
      <c r="B127" s="5" t="s">
        <v>287</v>
      </c>
      <c r="C127" s="5" t="s">
        <v>288</v>
      </c>
      <c r="D127" s="5" t="s">
        <v>289</v>
      </c>
    </row>
    <row r="128" spans="2:4" ht="15.5">
      <c r="B128" s="5" t="s">
        <v>290</v>
      </c>
      <c r="C128" s="5"/>
      <c r="D128" s="5" t="s">
        <v>291</v>
      </c>
    </row>
    <row r="129" spans="2:4" ht="46.5">
      <c r="B129" s="5" t="s">
        <v>292</v>
      </c>
      <c r="C129" s="5" t="s">
        <v>293</v>
      </c>
      <c r="D129" s="5" t="s">
        <v>294</v>
      </c>
    </row>
    <row r="130" spans="2:4" ht="124">
      <c r="B130" s="5" t="s">
        <v>295</v>
      </c>
      <c r="C130" s="5" t="s">
        <v>295</v>
      </c>
      <c r="D130" s="5" t="s">
        <v>296</v>
      </c>
    </row>
    <row r="131" spans="2:4" ht="77.5">
      <c r="B131" s="5" t="s">
        <v>297</v>
      </c>
      <c r="C131" s="5" t="s">
        <v>298</v>
      </c>
      <c r="D131" s="5" t="s">
        <v>299</v>
      </c>
    </row>
    <row r="132" spans="2:4" ht="15.5">
      <c r="B132" s="5" t="s">
        <v>300</v>
      </c>
      <c r="C132" s="5"/>
      <c r="D132" s="5" t="s">
        <v>301</v>
      </c>
    </row>
    <row r="133" spans="2:4" ht="62">
      <c r="B133" s="5" t="s">
        <v>302</v>
      </c>
      <c r="C133" s="5" t="s">
        <v>303</v>
      </c>
      <c r="D133" s="5" t="s">
        <v>304</v>
      </c>
    </row>
    <row r="134" spans="2:4" ht="15.5">
      <c r="B134" s="5" t="s">
        <v>305</v>
      </c>
      <c r="C134" s="5" t="s">
        <v>306</v>
      </c>
      <c r="D134" s="5" t="s">
        <v>307</v>
      </c>
    </row>
    <row r="135" spans="2:4" ht="31">
      <c r="B135" s="5" t="s">
        <v>308</v>
      </c>
      <c r="C135" s="5" t="s">
        <v>309</v>
      </c>
      <c r="D135" s="5" t="s">
        <v>310</v>
      </c>
    </row>
    <row r="136" spans="2:4" ht="46.5">
      <c r="B136" s="5" t="s">
        <v>311</v>
      </c>
      <c r="C136" s="5"/>
      <c r="D136" s="5" t="s">
        <v>312</v>
      </c>
    </row>
    <row r="137" spans="2:4" ht="31">
      <c r="B137" s="5" t="s">
        <v>313</v>
      </c>
      <c r="C137" s="5" t="s">
        <v>314</v>
      </c>
      <c r="D137" s="5" t="s">
        <v>315</v>
      </c>
    </row>
    <row r="138" spans="2:4" ht="46.5">
      <c r="B138" s="5" t="s">
        <v>316</v>
      </c>
      <c r="C138" s="5" t="s">
        <v>317</v>
      </c>
      <c r="D138" s="5" t="s">
        <v>318</v>
      </c>
    </row>
    <row r="139" spans="2:4" ht="15.5">
      <c r="B139" s="5" t="s">
        <v>319</v>
      </c>
      <c r="C139" s="5"/>
      <c r="D139" s="5" t="s">
        <v>320</v>
      </c>
    </row>
    <row r="140" spans="2:4" ht="15.5">
      <c r="B140" s="5" t="s">
        <v>321</v>
      </c>
      <c r="C140" s="5"/>
      <c r="D140" s="5" t="s">
        <v>195</v>
      </c>
    </row>
    <row r="141" spans="2:4" ht="31">
      <c r="B141" s="5" t="s">
        <v>322</v>
      </c>
      <c r="C141" s="5" t="s">
        <v>323</v>
      </c>
      <c r="D141" s="5" t="s">
        <v>324</v>
      </c>
    </row>
    <row r="142" spans="2:4" ht="170.5">
      <c r="B142" s="5" t="s">
        <v>325</v>
      </c>
      <c r="C142" s="5" t="s">
        <v>326</v>
      </c>
      <c r="D142" s="5" t="s">
        <v>327</v>
      </c>
    </row>
    <row r="143" spans="2:4" ht="15.5">
      <c r="B143" s="5" t="s">
        <v>214</v>
      </c>
      <c r="C143" s="5"/>
      <c r="D143" s="5" t="s">
        <v>328</v>
      </c>
    </row>
    <row r="144" spans="2:4" ht="62">
      <c r="B144" s="5" t="s">
        <v>329</v>
      </c>
      <c r="C144" s="5" t="s">
        <v>330</v>
      </c>
      <c r="D144" s="5" t="s">
        <v>331</v>
      </c>
    </row>
    <row r="145" spans="2:4" ht="46.5">
      <c r="B145" s="5" t="s">
        <v>332</v>
      </c>
      <c r="C145" s="5"/>
      <c r="D145" s="5" t="s">
        <v>333</v>
      </c>
    </row>
    <row r="146" spans="2:4" ht="15.5">
      <c r="B146" s="5" t="s">
        <v>334</v>
      </c>
      <c r="C146" s="5" t="s">
        <v>335</v>
      </c>
      <c r="D146" s="5" t="s">
        <v>336</v>
      </c>
    </row>
    <row r="147" spans="2:4" ht="108.5">
      <c r="B147" s="5" t="s">
        <v>337</v>
      </c>
      <c r="C147" s="5" t="s">
        <v>338</v>
      </c>
      <c r="D147" s="5" t="s">
        <v>339</v>
      </c>
    </row>
    <row r="148" spans="2:4" ht="31">
      <c r="B148" s="5" t="s">
        <v>340</v>
      </c>
      <c r="C148" s="5" t="s">
        <v>135</v>
      </c>
      <c r="D148" s="5" t="s">
        <v>341</v>
      </c>
    </row>
    <row r="149" spans="2:4" ht="31">
      <c r="B149" s="5" t="s">
        <v>342</v>
      </c>
      <c r="C149" s="5" t="s">
        <v>343</v>
      </c>
      <c r="D149" s="5" t="s">
        <v>344</v>
      </c>
    </row>
    <row r="150" spans="2:4" ht="15.5">
      <c r="B150" s="5" t="s">
        <v>345</v>
      </c>
      <c r="C150" s="5"/>
      <c r="D150" s="5" t="s">
        <v>346</v>
      </c>
    </row>
    <row r="151" spans="2:4" ht="31">
      <c r="B151" s="5" t="s">
        <v>347</v>
      </c>
      <c r="C151" s="5" t="s">
        <v>111</v>
      </c>
      <c r="D151" s="5" t="s">
        <v>348</v>
      </c>
    </row>
    <row r="152" spans="2:4" ht="31">
      <c r="B152" s="5" t="s">
        <v>349</v>
      </c>
      <c r="C152" s="5" t="s">
        <v>350</v>
      </c>
      <c r="D152" s="5" t="s">
        <v>351</v>
      </c>
    </row>
    <row r="153" spans="2:4" ht="31">
      <c r="B153" s="5" t="s">
        <v>352</v>
      </c>
      <c r="C153" s="5"/>
      <c r="D153" s="5" t="s">
        <v>353</v>
      </c>
    </row>
    <row r="154" spans="2:4" ht="46.5">
      <c r="B154" s="5" t="s">
        <v>354</v>
      </c>
      <c r="C154" s="5"/>
      <c r="D154" s="5" t="s">
        <v>355</v>
      </c>
    </row>
    <row r="155" spans="2:4" ht="31">
      <c r="B155" s="5" t="s">
        <v>356</v>
      </c>
      <c r="C155" s="5"/>
      <c r="D155" s="5" t="s">
        <v>357</v>
      </c>
    </row>
    <row r="156" spans="2:4" ht="15.5">
      <c r="B156" s="5" t="s">
        <v>358</v>
      </c>
      <c r="C156" s="5" t="s">
        <v>359</v>
      </c>
      <c r="D156" s="5" t="s">
        <v>360</v>
      </c>
    </row>
    <row r="157" spans="2:4" ht="31">
      <c r="B157" s="5" t="s">
        <v>361</v>
      </c>
      <c r="C157" s="5" t="s">
        <v>362</v>
      </c>
      <c r="D157" s="5" t="s">
        <v>363</v>
      </c>
    </row>
    <row r="158" spans="2:4" ht="170.5">
      <c r="B158" s="5" t="s">
        <v>364</v>
      </c>
      <c r="C158" s="5"/>
      <c r="D158" s="5" t="s">
        <v>365</v>
      </c>
    </row>
    <row r="159" spans="2:4" ht="108.5">
      <c r="B159" s="5" t="s">
        <v>366</v>
      </c>
      <c r="C159" s="5"/>
      <c r="D159" s="5" t="s">
        <v>367</v>
      </c>
    </row>
    <row r="160" spans="2:4" ht="15.5">
      <c r="B160" s="5" t="s">
        <v>368</v>
      </c>
      <c r="C160" s="5"/>
      <c r="D160" s="5" t="s">
        <v>369</v>
      </c>
    </row>
    <row r="161" spans="2:4" ht="62">
      <c r="B161" s="5" t="s">
        <v>370</v>
      </c>
      <c r="C161" s="5"/>
      <c r="D161" s="5" t="s">
        <v>371</v>
      </c>
    </row>
    <row r="162" spans="2:4" ht="46.5">
      <c r="B162" s="5" t="s">
        <v>372</v>
      </c>
      <c r="C162" s="5" t="s">
        <v>373</v>
      </c>
      <c r="D162" s="5" t="s">
        <v>374</v>
      </c>
    </row>
    <row r="163" spans="2:4" ht="31">
      <c r="B163" s="5" t="s">
        <v>375</v>
      </c>
      <c r="C163" s="5" t="s">
        <v>376</v>
      </c>
      <c r="D163" s="5" t="s">
        <v>377</v>
      </c>
    </row>
    <row r="164" spans="2:4" ht="15.5">
      <c r="B164" s="5" t="s">
        <v>378</v>
      </c>
      <c r="C164" s="5" t="s">
        <v>379</v>
      </c>
      <c r="D164" s="5" t="s">
        <v>380</v>
      </c>
    </row>
    <row r="165" spans="2:4" ht="15.5">
      <c r="B165" s="5" t="s">
        <v>381</v>
      </c>
      <c r="C165" s="5" t="s">
        <v>382</v>
      </c>
      <c r="D165" s="5" t="s">
        <v>383</v>
      </c>
    </row>
    <row r="166" spans="2:4" ht="31">
      <c r="B166" s="5" t="s">
        <v>384</v>
      </c>
      <c r="C166" s="5" t="s">
        <v>385</v>
      </c>
      <c r="D166" s="5" t="s">
        <v>386</v>
      </c>
    </row>
    <row r="167" spans="2:4" ht="15.5">
      <c r="B167" s="5" t="s">
        <v>387</v>
      </c>
      <c r="C167" s="5"/>
      <c r="D167" s="5" t="s">
        <v>232</v>
      </c>
    </row>
    <row r="168" spans="2:4" ht="31">
      <c r="B168" s="5" t="s">
        <v>388</v>
      </c>
      <c r="C168" s="5"/>
      <c r="D168" s="5" t="s">
        <v>389</v>
      </c>
    </row>
    <row r="169" spans="2:4" ht="31">
      <c r="B169" s="5" t="s">
        <v>390</v>
      </c>
      <c r="C169" s="5"/>
      <c r="D169" s="5" t="s">
        <v>391</v>
      </c>
    </row>
    <row r="170" spans="2:4" ht="15.5">
      <c r="B170" s="5" t="s">
        <v>392</v>
      </c>
      <c r="C170" s="5"/>
      <c r="D170" s="5" t="s">
        <v>393</v>
      </c>
    </row>
    <row r="171" spans="2:4" ht="46.5">
      <c r="B171" s="5" t="s">
        <v>394</v>
      </c>
      <c r="C171" s="5" t="s">
        <v>395</v>
      </c>
      <c r="D171" s="5" t="s">
        <v>396</v>
      </c>
    </row>
    <row r="172" spans="2:4" ht="31">
      <c r="B172" s="5" t="s">
        <v>397</v>
      </c>
      <c r="C172" s="5"/>
      <c r="D172" s="5" t="s">
        <v>398</v>
      </c>
    </row>
    <row r="173" spans="2:4" ht="15.5">
      <c r="B173" s="5" t="s">
        <v>399</v>
      </c>
      <c r="C173" s="5"/>
      <c r="D173" s="5" t="s">
        <v>400</v>
      </c>
    </row>
    <row r="174" spans="2:4" ht="15.5">
      <c r="B174" s="5" t="s">
        <v>401</v>
      </c>
      <c r="C174" s="5"/>
      <c r="D174" s="5" t="s">
        <v>402</v>
      </c>
    </row>
    <row r="175" spans="2:4" ht="62">
      <c r="B175" s="5" t="s">
        <v>403</v>
      </c>
      <c r="C175" s="5"/>
      <c r="D175" s="5" t="s">
        <v>404</v>
      </c>
    </row>
    <row r="176" spans="2:4" ht="15.5">
      <c r="B176" s="5" t="s">
        <v>405</v>
      </c>
      <c r="C176" s="5"/>
      <c r="D176" s="5" t="s">
        <v>406</v>
      </c>
    </row>
    <row r="177" spans="2:4" ht="31">
      <c r="B177" s="5" t="s">
        <v>407</v>
      </c>
      <c r="C177" s="5"/>
      <c r="D177" s="5" t="s">
        <v>408</v>
      </c>
    </row>
    <row r="178" spans="2:4" ht="46.5">
      <c r="B178" s="5" t="s">
        <v>409</v>
      </c>
      <c r="C178" s="5" t="s">
        <v>410</v>
      </c>
      <c r="D178" s="5" t="s">
        <v>411</v>
      </c>
    </row>
    <row r="179" spans="2:4" ht="15.5">
      <c r="B179" s="5" t="s">
        <v>412</v>
      </c>
      <c r="C179" s="5"/>
      <c r="D179" s="5" t="s">
        <v>413</v>
      </c>
    </row>
    <row r="180" spans="2:4" ht="15.5">
      <c r="B180" s="5" t="s">
        <v>414</v>
      </c>
      <c r="C180" s="5" t="s">
        <v>415</v>
      </c>
      <c r="D180" s="5" t="s">
        <v>416</v>
      </c>
    </row>
    <row r="181" spans="2:4" ht="15.5">
      <c r="B181" s="5" t="s">
        <v>417</v>
      </c>
      <c r="C181" s="5"/>
      <c r="D181" s="5" t="s">
        <v>418</v>
      </c>
    </row>
    <row r="182" spans="2:4" ht="15.5">
      <c r="B182" s="5" t="s">
        <v>419</v>
      </c>
      <c r="C182" s="5"/>
      <c r="D182" s="5" t="s">
        <v>420</v>
      </c>
    </row>
    <row r="183" spans="2:4" ht="15.5">
      <c r="B183" s="5" t="s">
        <v>421</v>
      </c>
      <c r="C183" s="5"/>
      <c r="D183" s="5" t="s">
        <v>422</v>
      </c>
    </row>
    <row r="184" spans="2:4" ht="31">
      <c r="B184" s="5" t="s">
        <v>423</v>
      </c>
      <c r="C184" s="5"/>
      <c r="D184" s="5" t="s">
        <v>424</v>
      </c>
    </row>
    <row r="185" spans="2:4" ht="46.5">
      <c r="B185" s="5" t="s">
        <v>425</v>
      </c>
      <c r="C185" s="5"/>
      <c r="D185" s="5" t="s">
        <v>426</v>
      </c>
    </row>
    <row r="186" spans="2:4" ht="15.5">
      <c r="B186" s="5" t="s">
        <v>427</v>
      </c>
      <c r="C186" s="5" t="s">
        <v>428</v>
      </c>
      <c r="D186" s="5" t="s">
        <v>429</v>
      </c>
    </row>
    <row r="187" spans="2:4" ht="15.5">
      <c r="B187" s="5" t="s">
        <v>430</v>
      </c>
      <c r="C187" s="5"/>
      <c r="D187" s="5" t="s">
        <v>431</v>
      </c>
    </row>
    <row r="188" spans="2:4" ht="15.5">
      <c r="B188" s="5" t="s">
        <v>432</v>
      </c>
      <c r="C188" s="5" t="s">
        <v>433</v>
      </c>
      <c r="D188" s="5" t="s">
        <v>434</v>
      </c>
    </row>
    <row r="189" spans="2:4" ht="62">
      <c r="B189" s="5" t="s">
        <v>435</v>
      </c>
      <c r="C189" s="5" t="s">
        <v>436</v>
      </c>
      <c r="D189" s="5" t="s">
        <v>437</v>
      </c>
    </row>
    <row r="190" spans="2:4" ht="77.5">
      <c r="B190" s="5" t="s">
        <v>438</v>
      </c>
      <c r="C190" s="5"/>
      <c r="D190" s="5" t="s">
        <v>439</v>
      </c>
    </row>
    <row r="191" spans="2:4" ht="77.5">
      <c r="B191" s="5" t="s">
        <v>440</v>
      </c>
      <c r="C191" s="5"/>
      <c r="D191" s="5" t="s">
        <v>441</v>
      </c>
    </row>
    <row r="192" spans="2:4" ht="155">
      <c r="B192" s="5" t="s">
        <v>442</v>
      </c>
      <c r="C192" s="5"/>
      <c r="D192" s="5" t="s">
        <v>443</v>
      </c>
    </row>
    <row r="193" spans="2:4" ht="15.5">
      <c r="B193" s="5" t="s">
        <v>444</v>
      </c>
      <c r="C193" s="5"/>
      <c r="D193" s="5" t="s">
        <v>445</v>
      </c>
    </row>
    <row r="194" spans="2:4" ht="31">
      <c r="B194" s="5" t="s">
        <v>446</v>
      </c>
      <c r="C194" s="5"/>
      <c r="D194" s="5" t="s">
        <v>447</v>
      </c>
    </row>
    <row r="195" spans="2:4" ht="46.5">
      <c r="B195" s="5" t="s">
        <v>448</v>
      </c>
      <c r="C195" s="5"/>
      <c r="D195" s="5" t="s">
        <v>449</v>
      </c>
    </row>
    <row r="196" spans="2:4" ht="31">
      <c r="B196" s="5" t="s">
        <v>450</v>
      </c>
      <c r="C196" s="5"/>
      <c r="D196" s="5" t="s">
        <v>451</v>
      </c>
    </row>
    <row r="197" spans="2:4" ht="31">
      <c r="B197" s="5" t="s">
        <v>452</v>
      </c>
      <c r="C197" s="5"/>
      <c r="D197" s="5" t="s">
        <v>453</v>
      </c>
    </row>
    <row r="198" spans="2:4" ht="31">
      <c r="B198" s="5" t="s">
        <v>454</v>
      </c>
      <c r="C198" s="5"/>
      <c r="D198" s="5" t="s">
        <v>455</v>
      </c>
    </row>
    <row r="199" spans="2:4" ht="15.5">
      <c r="B199" s="5" t="s">
        <v>456</v>
      </c>
      <c r="C199" s="5"/>
      <c r="D199" s="5" t="s">
        <v>457</v>
      </c>
    </row>
    <row r="200" spans="2:4" ht="31">
      <c r="B200" s="5" t="s">
        <v>458</v>
      </c>
      <c r="C200" s="5" t="s">
        <v>459</v>
      </c>
      <c r="D200" s="5" t="s">
        <v>460</v>
      </c>
    </row>
    <row r="201" spans="2:4" ht="31">
      <c r="B201" s="5" t="s">
        <v>461</v>
      </c>
      <c r="C201" s="5" t="s">
        <v>462</v>
      </c>
      <c r="D201" s="5" t="s">
        <v>463</v>
      </c>
    </row>
    <row r="202" spans="2:4" ht="31">
      <c r="B202" s="5" t="s">
        <v>464</v>
      </c>
      <c r="C202" s="5"/>
      <c r="D202" s="5" t="s">
        <v>465</v>
      </c>
    </row>
    <row r="203" spans="2:4" ht="31">
      <c r="B203" s="5" t="s">
        <v>466</v>
      </c>
      <c r="C203" s="5" t="s">
        <v>231</v>
      </c>
      <c r="D203" s="5" t="s">
        <v>467</v>
      </c>
    </row>
    <row r="204" spans="2:4" ht="108.5">
      <c r="B204" s="5" t="s">
        <v>468</v>
      </c>
      <c r="C204" s="5" t="s">
        <v>14</v>
      </c>
      <c r="D204" s="5" t="s">
        <v>469</v>
      </c>
    </row>
    <row r="205" spans="2:4" ht="62">
      <c r="B205" s="5" t="s">
        <v>470</v>
      </c>
      <c r="C205" s="5" t="s">
        <v>97</v>
      </c>
      <c r="D205" s="5" t="s">
        <v>471</v>
      </c>
    </row>
    <row r="206" spans="2:4" ht="46.5">
      <c r="B206" s="5" t="s">
        <v>472</v>
      </c>
      <c r="C206" s="5" t="s">
        <v>216</v>
      </c>
      <c r="D206" s="5" t="s">
        <v>473</v>
      </c>
    </row>
    <row r="207" spans="2:4" ht="46.5">
      <c r="B207" s="5" t="s">
        <v>474</v>
      </c>
      <c r="C207" s="5" t="s">
        <v>230</v>
      </c>
      <c r="D207" s="5" t="s">
        <v>475</v>
      </c>
    </row>
    <row r="208" spans="2:4" ht="31">
      <c r="B208" s="5" t="s">
        <v>476</v>
      </c>
      <c r="C208" s="5" t="s">
        <v>387</v>
      </c>
      <c r="D208" s="5" t="s">
        <v>477</v>
      </c>
    </row>
    <row r="209" spans="2:4" ht="46.5">
      <c r="B209" s="5" t="s">
        <v>478</v>
      </c>
      <c r="C209" s="5" t="s">
        <v>479</v>
      </c>
      <c r="D209" s="5" t="s">
        <v>480</v>
      </c>
    </row>
    <row r="210" spans="2:4" ht="31">
      <c r="B210" s="5" t="s">
        <v>481</v>
      </c>
      <c r="C210" s="5" t="s">
        <v>482</v>
      </c>
      <c r="D210" s="5" t="s">
        <v>483</v>
      </c>
    </row>
    <row r="211" spans="2:4" ht="15.5">
      <c r="B211" s="5" t="s">
        <v>484</v>
      </c>
      <c r="C211" s="5"/>
      <c r="D211" s="5" t="s">
        <v>485</v>
      </c>
    </row>
    <row r="212" spans="2:4" ht="31">
      <c r="B212" s="5" t="s">
        <v>486</v>
      </c>
      <c r="C212" s="5"/>
      <c r="D212" s="5" t="s">
        <v>487</v>
      </c>
    </row>
    <row r="213" spans="2:4" ht="31">
      <c r="B213" s="5" t="s">
        <v>488</v>
      </c>
      <c r="C213" s="5"/>
      <c r="D213" s="5" t="s">
        <v>489</v>
      </c>
    </row>
    <row r="214" spans="2:4" ht="31">
      <c r="B214" s="5" t="s">
        <v>490</v>
      </c>
      <c r="C214" s="5"/>
      <c r="D214" s="5" t="s">
        <v>491</v>
      </c>
    </row>
    <row r="215" spans="2:4" ht="31">
      <c r="B215" s="5" t="s">
        <v>492</v>
      </c>
      <c r="C215" s="5" t="s">
        <v>493</v>
      </c>
      <c r="D215" s="5" t="s">
        <v>494</v>
      </c>
    </row>
    <row r="216" spans="2:4" ht="15.5">
      <c r="B216" s="5" t="s">
        <v>479</v>
      </c>
      <c r="C216" s="5"/>
      <c r="D216" s="5" t="s">
        <v>232</v>
      </c>
    </row>
    <row r="217" spans="2:4" ht="15.5">
      <c r="B217" s="5" t="s">
        <v>495</v>
      </c>
      <c r="C217" s="5"/>
      <c r="D217" s="5" t="s">
        <v>496</v>
      </c>
    </row>
    <row r="218" spans="2:4" ht="31">
      <c r="B218" s="5" t="s">
        <v>497</v>
      </c>
      <c r="C218" s="5"/>
      <c r="D218" s="5" t="s">
        <v>498</v>
      </c>
    </row>
    <row r="219" spans="2:4" ht="15.5">
      <c r="B219" s="5" t="s">
        <v>499</v>
      </c>
      <c r="C219" s="5"/>
      <c r="D219" s="5" t="s">
        <v>500</v>
      </c>
    </row>
    <row r="220" spans="2:4" ht="15.5">
      <c r="B220" s="5" t="s">
        <v>501</v>
      </c>
      <c r="C220" s="5"/>
      <c r="D220" s="5" t="s">
        <v>502</v>
      </c>
    </row>
    <row r="221" spans="2:4" ht="31">
      <c r="B221" s="5" t="s">
        <v>503</v>
      </c>
      <c r="C221" s="5"/>
      <c r="D221" s="5" t="s">
        <v>504</v>
      </c>
    </row>
    <row r="222" spans="2:4" ht="15.5">
      <c r="B222" s="5" t="s">
        <v>505</v>
      </c>
      <c r="C222" s="5" t="s">
        <v>506</v>
      </c>
      <c r="D222" s="5" t="s">
        <v>507</v>
      </c>
    </row>
    <row r="223" spans="2:4" ht="15.5">
      <c r="B223" s="5" t="s">
        <v>508</v>
      </c>
      <c r="C223" s="5"/>
      <c r="D223" s="5" t="s">
        <v>509</v>
      </c>
    </row>
    <row r="224" spans="2:4" ht="15.5">
      <c r="B224" s="5" t="s">
        <v>510</v>
      </c>
      <c r="C224" s="5" t="s">
        <v>511</v>
      </c>
      <c r="D224" s="5" t="s">
        <v>512</v>
      </c>
    </row>
    <row r="225" spans="2:4" ht="31">
      <c r="B225" s="5" t="s">
        <v>513</v>
      </c>
      <c r="C225" s="5"/>
      <c r="D225" s="5" t="s">
        <v>514</v>
      </c>
    </row>
    <row r="226" spans="2:4" ht="46.5">
      <c r="B226" s="5" t="s">
        <v>515</v>
      </c>
      <c r="C226" s="5" t="s">
        <v>516</v>
      </c>
      <c r="D226" s="5" t="s">
        <v>517</v>
      </c>
    </row>
    <row r="227" spans="2:4" ht="31">
      <c r="B227" s="5" t="s">
        <v>518</v>
      </c>
      <c r="C227" s="5" t="s">
        <v>519</v>
      </c>
      <c r="D227" s="5" t="s">
        <v>520</v>
      </c>
    </row>
    <row r="228" spans="2:4" ht="62">
      <c r="B228" s="5" t="s">
        <v>521</v>
      </c>
      <c r="C228" s="5" t="s">
        <v>522</v>
      </c>
      <c r="D228" s="5" t="s">
        <v>523</v>
      </c>
    </row>
    <row r="229" spans="2:4" ht="77.5">
      <c r="B229" s="5" t="s">
        <v>524</v>
      </c>
      <c r="C229" s="5" t="s">
        <v>525</v>
      </c>
      <c r="D229" s="5" t="s">
        <v>526</v>
      </c>
    </row>
    <row r="230" spans="2:4" ht="15.5">
      <c r="B230" s="5" t="s">
        <v>527</v>
      </c>
      <c r="C230" s="5"/>
      <c r="D230" s="5" t="s">
        <v>360</v>
      </c>
    </row>
    <row r="231" spans="2:4" ht="31">
      <c r="B231" s="5" t="s">
        <v>528</v>
      </c>
      <c r="C231" s="5"/>
      <c r="D231" s="5" t="s">
        <v>529</v>
      </c>
    </row>
    <row r="232" spans="2:4" ht="15.5">
      <c r="B232" s="5" t="s">
        <v>530</v>
      </c>
      <c r="C232" s="5" t="s">
        <v>531</v>
      </c>
      <c r="D232" s="5" t="s">
        <v>532</v>
      </c>
    </row>
    <row r="233" spans="2:4" ht="62">
      <c r="B233" s="5" t="s">
        <v>533</v>
      </c>
      <c r="C233" s="5" t="s">
        <v>534</v>
      </c>
      <c r="D233" s="5" t="s">
        <v>535</v>
      </c>
    </row>
    <row r="234" spans="2:4" ht="77.5">
      <c r="B234" s="5" t="s">
        <v>536</v>
      </c>
      <c r="C234" s="5" t="s">
        <v>537</v>
      </c>
      <c r="D234" s="5" t="s">
        <v>538</v>
      </c>
    </row>
    <row r="235" spans="2:4" ht="46.5">
      <c r="B235" s="5" t="s">
        <v>539</v>
      </c>
      <c r="C235" s="5" t="s">
        <v>540</v>
      </c>
      <c r="D235" s="5" t="s">
        <v>541</v>
      </c>
    </row>
    <row r="236" spans="2:4" ht="31">
      <c r="B236" s="5" t="s">
        <v>542</v>
      </c>
      <c r="C236" s="5" t="s">
        <v>543</v>
      </c>
      <c r="D236" s="5" t="s">
        <v>544</v>
      </c>
    </row>
    <row r="237" spans="2:4" ht="108.5">
      <c r="B237" s="5" t="s">
        <v>545</v>
      </c>
      <c r="C237" s="5" t="s">
        <v>546</v>
      </c>
      <c r="D237" s="5" t="s">
        <v>547</v>
      </c>
    </row>
    <row r="238" spans="2:4" ht="15.5">
      <c r="B238" s="5" t="s">
        <v>548</v>
      </c>
      <c r="C238" s="5" t="s">
        <v>549</v>
      </c>
      <c r="D238" s="5" t="s">
        <v>550</v>
      </c>
    </row>
    <row r="239" spans="2:4" ht="15.5">
      <c r="B239" s="5" t="s">
        <v>551</v>
      </c>
      <c r="C239" s="5" t="s">
        <v>358</v>
      </c>
      <c r="D239" s="5" t="s">
        <v>552</v>
      </c>
    </row>
    <row r="240" spans="2:4" ht="31">
      <c r="B240" s="5" t="s">
        <v>553</v>
      </c>
      <c r="C240" s="5"/>
      <c r="D240" s="5" t="s">
        <v>554</v>
      </c>
    </row>
    <row r="241" spans="2:4" ht="31">
      <c r="B241" s="5" t="s">
        <v>555</v>
      </c>
      <c r="C241" s="5"/>
      <c r="D241" s="5" t="s">
        <v>556</v>
      </c>
    </row>
    <row r="242" spans="2:4" ht="93">
      <c r="B242" s="5" t="s">
        <v>557</v>
      </c>
      <c r="C242" s="5" t="s">
        <v>558</v>
      </c>
      <c r="D242" s="5" t="s">
        <v>559</v>
      </c>
    </row>
    <row r="243" spans="2:4" ht="46.5">
      <c r="B243" s="5" t="s">
        <v>560</v>
      </c>
      <c r="C243" s="5" t="s">
        <v>561</v>
      </c>
      <c r="D243" s="5" t="s">
        <v>562</v>
      </c>
    </row>
    <row r="244" spans="2:4" ht="31">
      <c r="B244" s="5" t="s">
        <v>563</v>
      </c>
      <c r="C244" s="5" t="s">
        <v>564</v>
      </c>
      <c r="D244" s="5" t="s">
        <v>565</v>
      </c>
    </row>
    <row r="245" spans="2:4" ht="77.5">
      <c r="B245" s="5" t="s">
        <v>566</v>
      </c>
      <c r="C245" s="5"/>
      <c r="D245" s="5" t="s">
        <v>567</v>
      </c>
    </row>
    <row r="246" spans="2:4" ht="77.5">
      <c r="B246" s="5" t="s">
        <v>568</v>
      </c>
      <c r="C246" s="5"/>
      <c r="D246" s="5" t="s">
        <v>569</v>
      </c>
    </row>
    <row r="247" spans="2:4" ht="15.5">
      <c r="B247" s="5" t="s">
        <v>570</v>
      </c>
      <c r="C247" s="5"/>
      <c r="D247" s="5" t="s">
        <v>28</v>
      </c>
    </row>
    <row r="248" spans="2:4" ht="15.5">
      <c r="B248" s="5" t="s">
        <v>571</v>
      </c>
      <c r="C248" s="5" t="s">
        <v>194</v>
      </c>
      <c r="D248" s="5" t="s">
        <v>572</v>
      </c>
    </row>
    <row r="249" spans="2:4" ht="31">
      <c r="B249" s="5" t="s">
        <v>573</v>
      </c>
      <c r="C249" s="5" t="s">
        <v>574</v>
      </c>
      <c r="D249" s="5" t="s">
        <v>575</v>
      </c>
    </row>
    <row r="250" spans="2:4" ht="31">
      <c r="B250" s="5" t="s">
        <v>576</v>
      </c>
      <c r="C250" s="5"/>
      <c r="D250" s="5" t="s">
        <v>577</v>
      </c>
    </row>
    <row r="251" spans="2:4" ht="77.5">
      <c r="B251" s="5" t="s">
        <v>578</v>
      </c>
      <c r="C251" s="5" t="s">
        <v>579</v>
      </c>
      <c r="D251" s="5" t="s">
        <v>580</v>
      </c>
    </row>
    <row r="252" spans="2:4" ht="62">
      <c r="B252" s="5" t="s">
        <v>581</v>
      </c>
      <c r="C252" s="5" t="s">
        <v>582</v>
      </c>
      <c r="D252" s="5" t="s">
        <v>583</v>
      </c>
    </row>
    <row r="253" spans="2:4" ht="62">
      <c r="B253" s="5" t="s">
        <v>584</v>
      </c>
      <c r="C253" s="5" t="s">
        <v>585</v>
      </c>
      <c r="D253" s="5" t="s">
        <v>586</v>
      </c>
    </row>
    <row r="254" spans="2:4" ht="31">
      <c r="B254" s="5" t="s">
        <v>587</v>
      </c>
      <c r="C254" s="5" t="s">
        <v>588</v>
      </c>
      <c r="D254" s="5" t="s">
        <v>589</v>
      </c>
    </row>
    <row r="255" spans="2:4" ht="31">
      <c r="B255" s="5" t="s">
        <v>590</v>
      </c>
      <c r="C255" s="5" t="s">
        <v>591</v>
      </c>
      <c r="D255" s="5" t="s">
        <v>592</v>
      </c>
    </row>
    <row r="256" spans="2:4" ht="31">
      <c r="B256" s="5" t="s">
        <v>593</v>
      </c>
      <c r="C256" s="5" t="s">
        <v>594</v>
      </c>
      <c r="D256" s="5" t="s">
        <v>595</v>
      </c>
    </row>
    <row r="257" spans="2:4" ht="62">
      <c r="B257" s="5" t="s">
        <v>596</v>
      </c>
      <c r="C257" s="5" t="s">
        <v>597</v>
      </c>
      <c r="D257" s="5" t="s">
        <v>598</v>
      </c>
    </row>
    <row r="258" spans="2:4" ht="31">
      <c r="B258" s="5" t="s">
        <v>599</v>
      </c>
      <c r="C258" s="5" t="s">
        <v>600</v>
      </c>
      <c r="D258" s="5" t="s">
        <v>601</v>
      </c>
    </row>
    <row r="259" spans="2:4" ht="108.5">
      <c r="B259" s="5" t="s">
        <v>602</v>
      </c>
      <c r="C259" s="5" t="s">
        <v>603</v>
      </c>
      <c r="D259" s="5" t="s">
        <v>604</v>
      </c>
    </row>
  </sheetData>
  <sheetProtection sheet="1" objects="1" scenarios="1" selectLockedCells="1"/>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C101"/>
  <sheetViews>
    <sheetView topLeftCell="A11" zoomScale="90" zoomScaleNormal="90" workbookViewId="0">
      <selection activeCell="C12" sqref="C12"/>
    </sheetView>
  </sheetViews>
  <sheetFormatPr defaultRowHeight="14.5"/>
  <cols>
    <col min="2" max="2" width="61.81640625" customWidth="1"/>
    <col min="3" max="3" width="54.1796875" customWidth="1"/>
  </cols>
  <sheetData>
    <row r="1" spans="1:3" ht="18.5">
      <c r="A1" s="386" t="s">
        <v>1777</v>
      </c>
      <c r="B1" s="379" t="s">
        <v>1652</v>
      </c>
      <c r="C1" s="379" t="s">
        <v>1776</v>
      </c>
    </row>
    <row r="2" spans="1:3" ht="129.5">
      <c r="A2" s="387">
        <v>1</v>
      </c>
      <c r="B2" s="380" t="s">
        <v>1653</v>
      </c>
      <c r="C2" s="380" t="s">
        <v>1778</v>
      </c>
    </row>
    <row r="3" spans="1:3" ht="74">
      <c r="A3" s="288">
        <v>2</v>
      </c>
      <c r="B3" s="381" t="s">
        <v>1654</v>
      </c>
      <c r="C3" s="380" t="s">
        <v>1779</v>
      </c>
    </row>
    <row r="4" spans="1:3" ht="129" customHeight="1">
      <c r="A4" s="288">
        <v>3</v>
      </c>
      <c r="B4" s="381" t="s">
        <v>1655</v>
      </c>
      <c r="C4" s="380" t="s">
        <v>1781</v>
      </c>
    </row>
    <row r="5" spans="1:3" ht="92.5">
      <c r="A5" s="288">
        <v>4</v>
      </c>
      <c r="B5" s="381" t="s">
        <v>1619</v>
      </c>
      <c r="C5" s="380" t="s">
        <v>1780</v>
      </c>
    </row>
    <row r="6" spans="1:3" ht="314.5">
      <c r="A6" s="288">
        <v>5</v>
      </c>
      <c r="B6" s="381" t="s">
        <v>1656</v>
      </c>
      <c r="C6" s="380" t="s">
        <v>1782</v>
      </c>
    </row>
    <row r="7" spans="1:3" ht="185">
      <c r="A7" s="288">
        <v>6</v>
      </c>
      <c r="B7" s="381" t="s">
        <v>1620</v>
      </c>
      <c r="C7" s="380" t="s">
        <v>1784</v>
      </c>
    </row>
    <row r="8" spans="1:3" ht="203.5">
      <c r="A8" s="288">
        <v>7</v>
      </c>
      <c r="B8" s="381" t="s">
        <v>1621</v>
      </c>
      <c r="C8" s="380" t="s">
        <v>1783</v>
      </c>
    </row>
    <row r="9" spans="1:3" ht="296">
      <c r="A9" s="288">
        <v>8</v>
      </c>
      <c r="B9" s="381" t="s">
        <v>1722</v>
      </c>
      <c r="C9" s="380" t="s">
        <v>1785</v>
      </c>
    </row>
    <row r="10" spans="1:3" ht="166.5">
      <c r="A10" s="288">
        <v>9</v>
      </c>
      <c r="B10" s="381" t="s">
        <v>1657</v>
      </c>
      <c r="C10" s="380" t="s">
        <v>1786</v>
      </c>
    </row>
    <row r="11" spans="1:3" ht="185">
      <c r="A11" s="288">
        <v>10</v>
      </c>
      <c r="B11" s="381" t="s">
        <v>1658</v>
      </c>
      <c r="C11" s="380" t="s">
        <v>1787</v>
      </c>
    </row>
    <row r="12" spans="1:3" ht="55.5">
      <c r="A12" s="288">
        <v>11</v>
      </c>
      <c r="B12" s="381" t="s">
        <v>1659</v>
      </c>
      <c r="C12" s="380" t="s">
        <v>1788</v>
      </c>
    </row>
    <row r="13" spans="1:3" ht="18.5">
      <c r="A13" s="288">
        <v>12</v>
      </c>
      <c r="B13" s="381" t="s">
        <v>1660</v>
      </c>
      <c r="C13" s="380"/>
    </row>
    <row r="14" spans="1:3" ht="18.5">
      <c r="A14" s="288">
        <v>13</v>
      </c>
      <c r="B14" s="381" t="s">
        <v>1661</v>
      </c>
      <c r="C14" s="380"/>
    </row>
    <row r="15" spans="1:3" ht="55.5">
      <c r="A15" s="288">
        <v>14</v>
      </c>
      <c r="B15" s="381" t="s">
        <v>1662</v>
      </c>
      <c r="C15" s="380"/>
    </row>
    <row r="16" spans="1:3" ht="37">
      <c r="A16" s="288">
        <v>15</v>
      </c>
      <c r="B16" s="381" t="s">
        <v>1663</v>
      </c>
      <c r="C16" s="380"/>
    </row>
    <row r="17" spans="1:3" ht="37">
      <c r="A17" s="288">
        <v>16</v>
      </c>
      <c r="B17" s="381" t="s">
        <v>1622</v>
      </c>
      <c r="C17" s="380"/>
    </row>
    <row r="18" spans="1:3" ht="74">
      <c r="A18" s="288">
        <v>17</v>
      </c>
      <c r="B18" s="382" t="s">
        <v>1651</v>
      </c>
      <c r="C18" s="380"/>
    </row>
    <row r="19" spans="1:3" ht="18.5">
      <c r="A19" s="288">
        <v>18</v>
      </c>
      <c r="B19" s="381" t="s">
        <v>1664</v>
      </c>
      <c r="C19" s="380"/>
    </row>
    <row r="20" spans="1:3" ht="18.5">
      <c r="A20" s="288" t="s">
        <v>1724</v>
      </c>
      <c r="B20" s="381" t="s">
        <v>1725</v>
      </c>
      <c r="C20" s="380"/>
    </row>
    <row r="21" spans="1:3" ht="74">
      <c r="A21" s="288" t="s">
        <v>1724</v>
      </c>
      <c r="B21" s="381" t="s">
        <v>1726</v>
      </c>
      <c r="C21" s="380"/>
    </row>
    <row r="22" spans="1:3" ht="18.5">
      <c r="A22" s="386"/>
      <c r="B22" s="383" t="s">
        <v>1769</v>
      </c>
      <c r="C22" s="380"/>
    </row>
    <row r="23" spans="1:3" ht="37">
      <c r="A23" s="288">
        <v>19</v>
      </c>
      <c r="B23" s="380" t="s">
        <v>1665</v>
      </c>
      <c r="C23" s="380"/>
    </row>
    <row r="24" spans="1:3" ht="37">
      <c r="A24" s="288">
        <v>20</v>
      </c>
      <c r="B24" s="381" t="s">
        <v>1623</v>
      </c>
      <c r="C24" s="380"/>
    </row>
    <row r="25" spans="1:3" ht="18.5">
      <c r="A25" s="288">
        <v>21</v>
      </c>
      <c r="B25" s="381" t="s">
        <v>1624</v>
      </c>
      <c r="C25" s="380"/>
    </row>
    <row r="26" spans="1:3" ht="37">
      <c r="A26" s="288">
        <v>22</v>
      </c>
      <c r="B26" s="381" t="s">
        <v>1666</v>
      </c>
      <c r="C26" s="380"/>
    </row>
    <row r="27" spans="1:3" ht="37">
      <c r="A27" s="288">
        <v>23</v>
      </c>
      <c r="B27" s="381" t="s">
        <v>1667</v>
      </c>
      <c r="C27" s="380"/>
    </row>
    <row r="28" spans="1:3" ht="55.5">
      <c r="A28" s="288">
        <v>24</v>
      </c>
      <c r="B28" s="381" t="s">
        <v>1668</v>
      </c>
      <c r="C28" s="380"/>
    </row>
    <row r="29" spans="1:3" ht="55.5">
      <c r="A29" s="288">
        <v>25</v>
      </c>
      <c r="B29" s="381" t="s">
        <v>1738</v>
      </c>
      <c r="C29" s="380"/>
    </row>
    <row r="30" spans="1:3" ht="37">
      <c r="A30" s="288">
        <v>27</v>
      </c>
      <c r="B30" s="381" t="s">
        <v>1729</v>
      </c>
      <c r="C30" s="380"/>
    </row>
    <row r="31" spans="1:3" ht="37">
      <c r="A31" s="288">
        <v>28</v>
      </c>
      <c r="B31" s="382" t="s">
        <v>1669</v>
      </c>
      <c r="C31" s="380"/>
    </row>
    <row r="32" spans="1:3" ht="18.5">
      <c r="A32" s="388"/>
      <c r="B32" s="383" t="s">
        <v>1761</v>
      </c>
      <c r="C32" s="380"/>
    </row>
    <row r="33" spans="1:3" ht="18.5">
      <c r="A33" s="288">
        <v>29</v>
      </c>
      <c r="B33" s="380" t="s">
        <v>1670</v>
      </c>
      <c r="C33" s="380"/>
    </row>
    <row r="34" spans="1:3" ht="74">
      <c r="A34" s="288">
        <v>30</v>
      </c>
      <c r="B34" s="381" t="s">
        <v>1625</v>
      </c>
      <c r="C34" s="380"/>
    </row>
    <row r="35" spans="1:3" ht="37">
      <c r="A35" s="288">
        <v>31</v>
      </c>
      <c r="B35" s="381" t="s">
        <v>1671</v>
      </c>
      <c r="C35" s="380"/>
    </row>
    <row r="36" spans="1:3" ht="37">
      <c r="A36" s="288">
        <v>32</v>
      </c>
      <c r="B36" s="381" t="s">
        <v>1672</v>
      </c>
      <c r="C36" s="380"/>
    </row>
    <row r="37" spans="1:3" ht="55.5">
      <c r="A37" s="288">
        <v>33</v>
      </c>
      <c r="B37" s="381" t="s">
        <v>1673</v>
      </c>
      <c r="C37" s="380"/>
    </row>
    <row r="38" spans="1:3" ht="18.5">
      <c r="A38" s="288">
        <v>34</v>
      </c>
      <c r="B38" s="381" t="s">
        <v>1674</v>
      </c>
      <c r="C38" s="380"/>
    </row>
    <row r="39" spans="1:3" ht="37">
      <c r="A39" s="288">
        <v>35</v>
      </c>
      <c r="B39" s="381" t="s">
        <v>1675</v>
      </c>
      <c r="C39" s="380"/>
    </row>
    <row r="40" spans="1:3" ht="18.5">
      <c r="A40" s="288">
        <v>36</v>
      </c>
      <c r="B40" s="381" t="s">
        <v>1676</v>
      </c>
      <c r="C40" s="380"/>
    </row>
    <row r="41" spans="1:3" ht="37">
      <c r="A41" s="288">
        <v>37</v>
      </c>
      <c r="B41" s="381" t="s">
        <v>1677</v>
      </c>
      <c r="C41" s="380"/>
    </row>
    <row r="42" spans="1:3" ht="37">
      <c r="A42" s="288">
        <v>38</v>
      </c>
      <c r="B42" s="382" t="s">
        <v>1753</v>
      </c>
      <c r="C42" s="380"/>
    </row>
    <row r="43" spans="1:3" ht="18.5">
      <c r="A43" s="386"/>
      <c r="B43" s="383" t="s">
        <v>1770</v>
      </c>
      <c r="C43" s="380"/>
    </row>
    <row r="44" spans="1:3" ht="37">
      <c r="A44" s="288">
        <v>39</v>
      </c>
      <c r="B44" s="380" t="s">
        <v>1626</v>
      </c>
      <c r="C44" s="380"/>
    </row>
    <row r="45" spans="1:3" ht="18.5">
      <c r="A45" s="288">
        <v>40</v>
      </c>
      <c r="B45" s="381" t="s">
        <v>1627</v>
      </c>
      <c r="C45" s="380"/>
    </row>
    <row r="46" spans="1:3" ht="37">
      <c r="A46" s="288">
        <v>41</v>
      </c>
      <c r="B46" s="381" t="s">
        <v>1678</v>
      </c>
      <c r="C46" s="380"/>
    </row>
    <row r="47" spans="1:3" ht="37">
      <c r="A47" s="288">
        <v>42</v>
      </c>
      <c r="B47" s="381" t="s">
        <v>1723</v>
      </c>
      <c r="C47" s="380"/>
    </row>
    <row r="48" spans="1:3" ht="37">
      <c r="A48" s="288">
        <v>44</v>
      </c>
      <c r="B48" s="381" t="s">
        <v>1679</v>
      </c>
      <c r="C48" s="380"/>
    </row>
    <row r="49" spans="1:3" ht="37">
      <c r="A49" s="288">
        <v>45</v>
      </c>
      <c r="B49" s="381" t="s">
        <v>1680</v>
      </c>
      <c r="C49" s="380"/>
    </row>
    <row r="50" spans="1:3" ht="37">
      <c r="A50" s="288">
        <v>46</v>
      </c>
      <c r="B50" s="381" t="s">
        <v>1681</v>
      </c>
      <c r="C50" s="380"/>
    </row>
    <row r="51" spans="1:3" ht="37">
      <c r="A51" s="288">
        <v>47</v>
      </c>
      <c r="B51" s="381" t="s">
        <v>1682</v>
      </c>
      <c r="C51" s="380"/>
    </row>
    <row r="52" spans="1:3" ht="55.5">
      <c r="A52" s="288">
        <v>48</v>
      </c>
      <c r="B52" s="381" t="s">
        <v>1744</v>
      </c>
      <c r="C52" s="380"/>
    </row>
    <row r="53" spans="1:3" ht="37">
      <c r="A53" s="288">
        <v>49</v>
      </c>
      <c r="B53" s="381" t="s">
        <v>1628</v>
      </c>
      <c r="C53" s="380"/>
    </row>
    <row r="54" spans="1:3" ht="55.5">
      <c r="A54" s="288">
        <v>50</v>
      </c>
      <c r="B54" s="381" t="s">
        <v>1683</v>
      </c>
      <c r="C54" s="380"/>
    </row>
    <row r="55" spans="1:3" ht="55.5">
      <c r="A55" s="288">
        <v>51</v>
      </c>
      <c r="B55" s="382" t="s">
        <v>1629</v>
      </c>
      <c r="C55" s="380"/>
    </row>
    <row r="56" spans="1:3" ht="18.5">
      <c r="A56" s="386"/>
      <c r="B56" s="383" t="s">
        <v>1684</v>
      </c>
      <c r="C56" s="380"/>
    </row>
    <row r="57" spans="1:3" ht="18.5">
      <c r="A57" s="288">
        <v>52</v>
      </c>
      <c r="B57" s="380" t="s">
        <v>1685</v>
      </c>
      <c r="C57" s="380"/>
    </row>
    <row r="58" spans="1:3" ht="37">
      <c r="A58" s="288">
        <v>53</v>
      </c>
      <c r="B58" s="381" t="s">
        <v>1686</v>
      </c>
      <c r="C58" s="380"/>
    </row>
    <row r="59" spans="1:3" ht="37">
      <c r="A59" s="288">
        <v>54</v>
      </c>
      <c r="B59" s="381" t="s">
        <v>1687</v>
      </c>
      <c r="C59" s="380"/>
    </row>
    <row r="60" spans="1:3" ht="55.5">
      <c r="A60" s="288">
        <v>55</v>
      </c>
      <c r="B60" s="381" t="s">
        <v>1688</v>
      </c>
      <c r="C60" s="380"/>
    </row>
    <row r="61" spans="1:3" ht="37">
      <c r="A61" s="288">
        <v>56</v>
      </c>
      <c r="B61" s="381" t="s">
        <v>1689</v>
      </c>
      <c r="C61" s="380"/>
    </row>
    <row r="62" spans="1:3" ht="74">
      <c r="A62" s="288">
        <v>57</v>
      </c>
      <c r="B62" s="381" t="s">
        <v>1690</v>
      </c>
      <c r="C62" s="380"/>
    </row>
    <row r="63" spans="1:3" ht="37">
      <c r="A63" s="288">
        <v>58</v>
      </c>
      <c r="B63" s="382" t="s">
        <v>1747</v>
      </c>
      <c r="C63" s="380"/>
    </row>
    <row r="64" spans="1:3" ht="55.5">
      <c r="A64" s="288">
        <v>59</v>
      </c>
      <c r="B64" s="382" t="s">
        <v>1748</v>
      </c>
      <c r="C64" s="380"/>
    </row>
    <row r="65" spans="1:3" ht="18.5">
      <c r="A65" s="386"/>
      <c r="B65" s="383" t="s">
        <v>1771</v>
      </c>
      <c r="C65" s="380"/>
    </row>
    <row r="66" spans="1:3" ht="55.5">
      <c r="A66" s="288">
        <v>60</v>
      </c>
      <c r="B66" s="380" t="s">
        <v>1691</v>
      </c>
      <c r="C66" s="380"/>
    </row>
    <row r="67" spans="1:3" ht="18.5">
      <c r="A67" s="288">
        <v>61</v>
      </c>
      <c r="B67" s="381" t="s">
        <v>1692</v>
      </c>
      <c r="C67" s="380"/>
    </row>
    <row r="68" spans="1:3" ht="18.5">
      <c r="A68" s="389">
        <v>62</v>
      </c>
      <c r="B68" s="382" t="s">
        <v>1693</v>
      </c>
      <c r="C68" s="380"/>
    </row>
    <row r="69" spans="1:3" ht="18.5">
      <c r="A69" s="386"/>
      <c r="B69" s="383" t="s">
        <v>1694</v>
      </c>
      <c r="C69" s="380"/>
    </row>
    <row r="70" spans="1:3" ht="18.5">
      <c r="A70" s="288">
        <v>63</v>
      </c>
      <c r="B70" s="380" t="s">
        <v>1695</v>
      </c>
      <c r="C70" s="380"/>
    </row>
    <row r="71" spans="1:3" ht="37">
      <c r="A71" s="288">
        <v>64</v>
      </c>
      <c r="B71" s="381" t="s">
        <v>1696</v>
      </c>
      <c r="C71" s="380"/>
    </row>
    <row r="72" spans="1:3" ht="37">
      <c r="A72" s="288">
        <v>65</v>
      </c>
      <c r="B72" s="381" t="s">
        <v>1721</v>
      </c>
      <c r="C72" s="380"/>
    </row>
    <row r="73" spans="1:3" ht="37">
      <c r="A73" s="288">
        <v>67</v>
      </c>
      <c r="B73" s="381" t="s">
        <v>1697</v>
      </c>
      <c r="C73" s="380"/>
    </row>
    <row r="74" spans="1:3" ht="37">
      <c r="A74" s="288">
        <v>68</v>
      </c>
      <c r="B74" s="381" t="s">
        <v>1772</v>
      </c>
      <c r="C74" s="380"/>
    </row>
    <row r="75" spans="1:3" ht="37">
      <c r="A75" s="288">
        <v>69</v>
      </c>
      <c r="B75" s="381" t="s">
        <v>1698</v>
      </c>
      <c r="C75" s="380"/>
    </row>
    <row r="76" spans="1:3" ht="37">
      <c r="A76" s="288">
        <v>70</v>
      </c>
      <c r="B76" s="384" t="s">
        <v>1630</v>
      </c>
      <c r="C76" s="380"/>
    </row>
    <row r="77" spans="1:3" ht="18.5">
      <c r="A77" s="288">
        <v>71</v>
      </c>
      <c r="B77" s="381" t="s">
        <v>1699</v>
      </c>
      <c r="C77" s="380"/>
    </row>
    <row r="78" spans="1:3" ht="37">
      <c r="A78" s="288">
        <v>72</v>
      </c>
      <c r="B78" s="381" t="s">
        <v>1631</v>
      </c>
      <c r="C78" s="380"/>
    </row>
    <row r="79" spans="1:3" ht="37">
      <c r="A79" s="288">
        <v>73</v>
      </c>
      <c r="B79" s="385" t="s">
        <v>1632</v>
      </c>
      <c r="C79" s="380"/>
    </row>
    <row r="80" spans="1:3" ht="111">
      <c r="A80" s="288" t="s">
        <v>1724</v>
      </c>
      <c r="B80" s="381" t="s">
        <v>1773</v>
      </c>
      <c r="C80" s="380"/>
    </row>
    <row r="81" spans="1:3" ht="18.5">
      <c r="A81" s="386"/>
      <c r="B81" s="383" t="s">
        <v>1774</v>
      </c>
      <c r="C81" s="380"/>
    </row>
    <row r="82" spans="1:3" ht="74">
      <c r="A82" s="288">
        <v>75</v>
      </c>
      <c r="B82" s="380" t="s">
        <v>1775</v>
      </c>
      <c r="C82" s="380"/>
    </row>
    <row r="83" spans="1:3" ht="18.5">
      <c r="A83" s="288">
        <v>76</v>
      </c>
      <c r="B83" s="381" t="s">
        <v>1700</v>
      </c>
      <c r="C83" s="380"/>
    </row>
    <row r="84" spans="1:3" ht="37">
      <c r="A84" s="288">
        <v>77</v>
      </c>
      <c r="B84" s="381" t="s">
        <v>1701</v>
      </c>
      <c r="C84" s="380"/>
    </row>
    <row r="85" spans="1:3" ht="37">
      <c r="A85" s="288">
        <v>78</v>
      </c>
      <c r="B85" s="381" t="s">
        <v>1702</v>
      </c>
      <c r="C85" s="380"/>
    </row>
    <row r="86" spans="1:3" ht="37">
      <c r="A86" s="288">
        <v>79</v>
      </c>
      <c r="B86" s="381" t="s">
        <v>1752</v>
      </c>
      <c r="C86" s="380"/>
    </row>
    <row r="87" spans="1:3" ht="18.5">
      <c r="A87" s="288">
        <v>80</v>
      </c>
      <c r="B87" s="382" t="s">
        <v>1633</v>
      </c>
      <c r="C87" s="380"/>
    </row>
    <row r="88" spans="1:3" ht="37">
      <c r="A88" s="288">
        <v>81</v>
      </c>
      <c r="B88" s="385" t="s">
        <v>1703</v>
      </c>
      <c r="C88" s="380"/>
    </row>
    <row r="89" spans="1:3" ht="37">
      <c r="A89" s="288">
        <v>82</v>
      </c>
      <c r="B89" s="381" t="s">
        <v>1704</v>
      </c>
      <c r="C89" s="380"/>
    </row>
    <row r="90" spans="1:3" ht="37">
      <c r="A90" s="288">
        <v>83</v>
      </c>
      <c r="B90" s="381" t="s">
        <v>1705</v>
      </c>
      <c r="C90" s="380"/>
    </row>
    <row r="91" spans="1:3" ht="18.5">
      <c r="A91" s="288">
        <v>86</v>
      </c>
      <c r="B91" s="381" t="s">
        <v>1706</v>
      </c>
      <c r="C91" s="380"/>
    </row>
    <row r="92" spans="1:3" ht="37">
      <c r="A92" s="288" t="s">
        <v>1728</v>
      </c>
      <c r="B92" s="381" t="s">
        <v>1637</v>
      </c>
      <c r="C92" s="380"/>
    </row>
    <row r="93" spans="1:3" ht="18.5">
      <c r="A93" s="386"/>
      <c r="B93" s="383" t="s">
        <v>1707</v>
      </c>
      <c r="C93" s="380"/>
    </row>
    <row r="94" spans="1:3" ht="37">
      <c r="A94" s="390" t="s">
        <v>1708</v>
      </c>
      <c r="B94" s="382" t="s">
        <v>1709</v>
      </c>
      <c r="C94" s="380"/>
    </row>
    <row r="95" spans="1:3" ht="37">
      <c r="A95" s="390" t="s">
        <v>1711</v>
      </c>
      <c r="B95" s="382" t="s">
        <v>1712</v>
      </c>
      <c r="C95" s="380"/>
    </row>
    <row r="96" spans="1:3" ht="37">
      <c r="A96" s="390" t="s">
        <v>1711</v>
      </c>
      <c r="B96" s="382" t="s">
        <v>1713</v>
      </c>
      <c r="C96" s="380"/>
    </row>
    <row r="97" spans="1:3" ht="37">
      <c r="A97" s="390" t="s">
        <v>1711</v>
      </c>
      <c r="B97" s="382" t="s">
        <v>1714</v>
      </c>
      <c r="C97" s="380"/>
    </row>
    <row r="98" spans="1:3" ht="37">
      <c r="A98" s="390" t="s">
        <v>1715</v>
      </c>
      <c r="B98" s="382" t="s">
        <v>1716</v>
      </c>
      <c r="C98" s="380"/>
    </row>
    <row r="99" spans="1:3" ht="37">
      <c r="A99" s="390" t="s">
        <v>1715</v>
      </c>
      <c r="B99" s="382" t="s">
        <v>1727</v>
      </c>
      <c r="C99" s="380"/>
    </row>
    <row r="100" spans="1:3" ht="37">
      <c r="A100" s="390" t="s">
        <v>1715</v>
      </c>
      <c r="B100" s="382" t="s">
        <v>1718</v>
      </c>
      <c r="C100" s="380"/>
    </row>
    <row r="101" spans="1:3" ht="18.5">
      <c r="C101" s="380"/>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8</vt:i4>
      </vt:variant>
    </vt:vector>
  </HeadingPairs>
  <TitlesOfParts>
    <vt:vector size="19" baseType="lpstr">
      <vt:lpstr>References</vt:lpstr>
      <vt:lpstr>Home</vt:lpstr>
      <vt:lpstr>General Questions</vt:lpstr>
      <vt:lpstr>Self-Assessment Questionnaire</vt:lpstr>
      <vt:lpstr>Checklist 2026</vt:lpstr>
      <vt:lpstr>RegenAg</vt:lpstr>
      <vt:lpstr>FX</vt:lpstr>
      <vt:lpstr>Performance PAGR</vt:lpstr>
      <vt:lpstr>Performance SAI</vt:lpstr>
      <vt:lpstr>Glossary</vt:lpstr>
      <vt:lpstr>Apoio ao auditor</vt:lpstr>
      <vt:lpstr>Enhance_on_farm_habitat_provision</vt:lpstr>
      <vt:lpstr>Improve_livestock_waste_management</vt:lpstr>
      <vt:lpstr>Increase_cultivated_crop_and_pasture_diversity</vt:lpstr>
      <vt:lpstr>Increase_nutrient_use_efficiency</vt:lpstr>
      <vt:lpstr>Increase_soil_health_and_fertility</vt:lpstr>
      <vt:lpstr>Increase_water_use_efficiency</vt:lpstr>
      <vt:lpstr>Optimise_crop_protection</vt:lpstr>
      <vt:lpstr>Reduce_greenhouse_gas_emissions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Actiknow .</dc:creator>
  <cp:lastModifiedBy>LUCAS ANDRE PRADO</cp:lastModifiedBy>
  <cp:lastPrinted>2025-04-07T18:38:49Z</cp:lastPrinted>
  <dcterms:created xsi:type="dcterms:W3CDTF">2015-06-05T18:17:20Z</dcterms:created>
  <dcterms:modified xsi:type="dcterms:W3CDTF">2026-01-29T20:27:31Z</dcterms:modified>
</cp:coreProperties>
</file>